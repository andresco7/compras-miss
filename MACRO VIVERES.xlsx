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defaultThemeVersion="124226"/>
  <mc:AlternateContent xmlns:mc="http://schemas.openxmlformats.org/markup-compatibility/2006">
    <mc:Choice Requires="x15">
      <x15ac:absPath xmlns:x15ac="http://schemas.microsoft.com/office/spreadsheetml/2010/11/ac" url="/Users/andres/Documents/CLAUDE/CODE_Extractor INDICADORES/Ext_Combinado_v2.0/Soporte/"/>
    </mc:Choice>
  </mc:AlternateContent>
  <xr:revisionPtr revIDLastSave="0" documentId="13_ncr:1_{C5B9F59D-0B61-8649-B33B-874F49CE9691}" xr6:coauthVersionLast="47" xr6:coauthVersionMax="47" xr10:uidLastSave="{00000000-0000-0000-0000-000000000000}"/>
  <bookViews>
    <workbookView xWindow="8220" yWindow="5240" windowWidth="34560" windowHeight="20440" tabRatio="782" xr2:uid="{00000000-000D-0000-FFFF-FFFF00000000}"/>
  </bookViews>
  <sheets>
    <sheet name="CLAVES_IMSS_Viveres" sheetId="8" r:id="rId1"/>
  </sheets>
  <definedNames>
    <definedName name="_xlnm._FilterDatabase" localSheetId="0" hidden="1">CLAVES_IMSS_Viveres!$A$3:$AG$184</definedName>
    <definedName name="_xlnm.Print_Area" localSheetId="0">CLAVES_IMSS_Viveres!$A$1:$AG$185</definedName>
    <definedName name="_xlnm.Print_Titles" localSheetId="0">CLAVES_IMSS_Viveres!$1:$2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8" l="1"/>
  <c r="Z4" i="8"/>
  <c r="V4" i="8"/>
  <c r="G14"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3" i="8"/>
  <c r="G12" i="8"/>
  <c r="G11" i="8"/>
  <c r="G9" i="8"/>
  <c r="G8" i="8"/>
  <c r="G7" i="8"/>
  <c r="G6" i="8"/>
  <c r="G5" i="8"/>
  <c r="G4" i="8"/>
  <c r="AI80" i="8" l="1"/>
  <c r="AD184" i="8"/>
  <c r="AB184" i="8"/>
  <c r="Z184" i="8"/>
  <c r="V184" i="8"/>
  <c r="AF184" i="8" s="1"/>
  <c r="U184" i="8"/>
  <c r="AE184" i="8" s="1"/>
  <c r="S184" i="8"/>
  <c r="AC184" i="8" s="1"/>
  <c r="Q184" i="8"/>
  <c r="AA184" i="8" s="1"/>
  <c r="AD183" i="8"/>
  <c r="AB183" i="8"/>
  <c r="Z183" i="8"/>
  <c r="V183" i="8"/>
  <c r="U183" i="8"/>
  <c r="AE183" i="8" s="1"/>
  <c r="S183" i="8"/>
  <c r="AC183" i="8" s="1"/>
  <c r="Q183" i="8"/>
  <c r="AA183" i="8" s="1"/>
  <c r="AD182" i="8"/>
  <c r="AB182" i="8"/>
  <c r="Z182" i="8"/>
  <c r="V182" i="8"/>
  <c r="AF182" i="8" s="1"/>
  <c r="U182" i="8"/>
  <c r="AE182" i="8" s="1"/>
  <c r="S182" i="8"/>
  <c r="AC182" i="8" s="1"/>
  <c r="Q182" i="8"/>
  <c r="AA182" i="8" s="1"/>
  <c r="AD181" i="8"/>
  <c r="AB181" i="8"/>
  <c r="Z181" i="8"/>
  <c r="V181" i="8"/>
  <c r="W181" i="8" s="1"/>
  <c r="AG181" i="8" s="1"/>
  <c r="U181" i="8"/>
  <c r="AE181" i="8" s="1"/>
  <c r="S181" i="8"/>
  <c r="AC181" i="8" s="1"/>
  <c r="Q181" i="8"/>
  <c r="AA181" i="8" s="1"/>
  <c r="AD180" i="8"/>
  <c r="AB180" i="8"/>
  <c r="Z180" i="8"/>
  <c r="V180" i="8"/>
  <c r="W180" i="8" s="1"/>
  <c r="AG180" i="8" s="1"/>
  <c r="U180" i="8"/>
  <c r="AE180" i="8" s="1"/>
  <c r="S180" i="8"/>
  <c r="AC180" i="8" s="1"/>
  <c r="Q180" i="8"/>
  <c r="AA180" i="8" s="1"/>
  <c r="AD179" i="8"/>
  <c r="AB179" i="8"/>
  <c r="Z179" i="8"/>
  <c r="V179" i="8"/>
  <c r="AF179" i="8" s="1"/>
  <c r="U179" i="8"/>
  <c r="AE179" i="8" s="1"/>
  <c r="S179" i="8"/>
  <c r="AC179" i="8" s="1"/>
  <c r="Q179" i="8"/>
  <c r="AA179" i="8" s="1"/>
  <c r="AD178" i="8"/>
  <c r="AB178" i="8"/>
  <c r="Z178" i="8"/>
  <c r="V178" i="8"/>
  <c r="W178" i="8" s="1"/>
  <c r="AG178" i="8" s="1"/>
  <c r="U178" i="8"/>
  <c r="AE178" i="8" s="1"/>
  <c r="S178" i="8"/>
  <c r="AC178" i="8" s="1"/>
  <c r="Q178" i="8"/>
  <c r="AA178" i="8" s="1"/>
  <c r="AE177" i="8"/>
  <c r="AD177" i="8"/>
  <c r="AB177" i="8"/>
  <c r="Z177" i="8"/>
  <c r="V177" i="8"/>
  <c r="W177" i="8" s="1"/>
  <c r="AG177" i="8" s="1"/>
  <c r="S177" i="8"/>
  <c r="AC177" i="8" s="1"/>
  <c r="Q177" i="8"/>
  <c r="AA177" i="8" s="1"/>
  <c r="AE176" i="8"/>
  <c r="AD176" i="8"/>
  <c r="AB176" i="8"/>
  <c r="Z176" i="8"/>
  <c r="V176" i="8"/>
  <c r="S176" i="8"/>
  <c r="AC176" i="8" s="1"/>
  <c r="Q176" i="8"/>
  <c r="AA176" i="8" s="1"/>
  <c r="AD175" i="8"/>
  <c r="AB175" i="8"/>
  <c r="Z175" i="8"/>
  <c r="V175" i="8"/>
  <c r="W175" i="8" s="1"/>
  <c r="AG175" i="8" s="1"/>
  <c r="U175" i="8"/>
  <c r="AE175" i="8" s="1"/>
  <c r="S175" i="8"/>
  <c r="AC175" i="8" s="1"/>
  <c r="Q175" i="8"/>
  <c r="AA175" i="8" s="1"/>
  <c r="AD174" i="8"/>
  <c r="AB174" i="8"/>
  <c r="Z174" i="8"/>
  <c r="V174" i="8"/>
  <c r="W174" i="8" s="1"/>
  <c r="AG174" i="8" s="1"/>
  <c r="U174" i="8"/>
  <c r="AE174" i="8" s="1"/>
  <c r="S174" i="8"/>
  <c r="AC174" i="8" s="1"/>
  <c r="Q174" i="8"/>
  <c r="AA174" i="8" s="1"/>
  <c r="AD173" i="8"/>
  <c r="AB173" i="8"/>
  <c r="Z173" i="8"/>
  <c r="V173" i="8"/>
  <c r="AF173" i="8" s="1"/>
  <c r="U173" i="8"/>
  <c r="AE173" i="8" s="1"/>
  <c r="S173" i="8"/>
  <c r="AC173" i="8" s="1"/>
  <c r="Q173" i="8"/>
  <c r="AA173" i="8" s="1"/>
  <c r="AE172" i="8"/>
  <c r="AD172" i="8"/>
  <c r="AB172" i="8"/>
  <c r="Z172" i="8"/>
  <c r="V172" i="8"/>
  <c r="AF172" i="8" s="1"/>
  <c r="S172" i="8"/>
  <c r="AC172" i="8" s="1"/>
  <c r="Q172" i="8"/>
  <c r="AA172" i="8" s="1"/>
  <c r="AE171" i="8"/>
  <c r="AD171" i="8"/>
  <c r="AB171" i="8"/>
  <c r="Z171" i="8"/>
  <c r="V171" i="8"/>
  <c r="W171" i="8" s="1"/>
  <c r="AG171" i="8" s="1"/>
  <c r="S171" i="8"/>
  <c r="AC171" i="8" s="1"/>
  <c r="Q171" i="8"/>
  <c r="AA171" i="8" s="1"/>
  <c r="AD170" i="8"/>
  <c r="AB170" i="8"/>
  <c r="Z170" i="8"/>
  <c r="V170" i="8"/>
  <c r="AF170" i="8" s="1"/>
  <c r="U170" i="8"/>
  <c r="AE170" i="8" s="1"/>
  <c r="S170" i="8"/>
  <c r="AC170" i="8" s="1"/>
  <c r="Q170" i="8"/>
  <c r="AA170" i="8" s="1"/>
  <c r="AE169" i="8"/>
  <c r="AD169" i="8"/>
  <c r="AB169" i="8"/>
  <c r="Z169" i="8"/>
  <c r="V169" i="8"/>
  <c r="AF169" i="8" s="1"/>
  <c r="S169" i="8"/>
  <c r="AC169" i="8" s="1"/>
  <c r="Q169" i="8"/>
  <c r="AA169" i="8" s="1"/>
  <c r="AE168" i="8"/>
  <c r="AD168" i="8"/>
  <c r="AB168" i="8"/>
  <c r="Z168" i="8"/>
  <c r="V168" i="8"/>
  <c r="W168" i="8" s="1"/>
  <c r="AG168" i="8" s="1"/>
  <c r="S168" i="8"/>
  <c r="AC168" i="8" s="1"/>
  <c r="Q168" i="8"/>
  <c r="AA168" i="8" s="1"/>
  <c r="AE167" i="8"/>
  <c r="AD167" i="8"/>
  <c r="AB167" i="8"/>
  <c r="Z167" i="8"/>
  <c r="V167" i="8"/>
  <c r="W167" i="8" s="1"/>
  <c r="AG167" i="8" s="1"/>
  <c r="S167" i="8"/>
  <c r="AC167" i="8" s="1"/>
  <c r="Q167" i="8"/>
  <c r="AA167" i="8" s="1"/>
  <c r="AE166" i="8"/>
  <c r="AD166" i="8"/>
  <c r="AB166" i="8"/>
  <c r="Z166" i="8"/>
  <c r="V166" i="8"/>
  <c r="AF166" i="8" s="1"/>
  <c r="S166" i="8"/>
  <c r="AC166" i="8" s="1"/>
  <c r="Q166" i="8"/>
  <c r="AA166" i="8" s="1"/>
  <c r="AE165" i="8"/>
  <c r="AD165" i="8"/>
  <c r="AB165" i="8"/>
  <c r="Z165" i="8"/>
  <c r="V165" i="8"/>
  <c r="W165" i="8" s="1"/>
  <c r="AG165" i="8" s="1"/>
  <c r="S165" i="8"/>
  <c r="AC165" i="8" s="1"/>
  <c r="Q165" i="8"/>
  <c r="AA165" i="8" s="1"/>
  <c r="AE164" i="8"/>
  <c r="AD164" i="8"/>
  <c r="AB164" i="8"/>
  <c r="Z164" i="8"/>
  <c r="V164" i="8"/>
  <c r="W164" i="8" s="1"/>
  <c r="AG164" i="8" s="1"/>
  <c r="S164" i="8"/>
  <c r="AC164" i="8" s="1"/>
  <c r="Q164" i="8"/>
  <c r="AA164" i="8" s="1"/>
  <c r="AE163" i="8"/>
  <c r="AD163" i="8"/>
  <c r="AB163" i="8"/>
  <c r="Z163" i="8"/>
  <c r="V163" i="8"/>
  <c r="AF163" i="8" s="1"/>
  <c r="S163" i="8"/>
  <c r="AC163" i="8" s="1"/>
  <c r="Q163" i="8"/>
  <c r="AA163" i="8" s="1"/>
  <c r="AE162" i="8"/>
  <c r="AD162" i="8"/>
  <c r="AB162" i="8"/>
  <c r="Z162" i="8"/>
  <c r="V162" i="8"/>
  <c r="AF162" i="8" s="1"/>
  <c r="S162" i="8"/>
  <c r="AC162" i="8" s="1"/>
  <c r="Q162" i="8"/>
  <c r="AA162" i="8" s="1"/>
  <c r="AE161" i="8"/>
  <c r="AD161" i="8"/>
  <c r="AB161" i="8"/>
  <c r="Z161" i="8"/>
  <c r="V161" i="8"/>
  <c r="AF161" i="8" s="1"/>
  <c r="S161" i="8"/>
  <c r="AC161" i="8" s="1"/>
  <c r="Q161" i="8"/>
  <c r="AA161" i="8" s="1"/>
  <c r="AE160" i="8"/>
  <c r="AD160" i="8"/>
  <c r="AB160" i="8"/>
  <c r="AA160" i="8"/>
  <c r="Z160" i="8"/>
  <c r="V160" i="8"/>
  <c r="AF160" i="8" s="1"/>
  <c r="S160" i="8"/>
  <c r="AC160" i="8" s="1"/>
  <c r="AE159" i="8"/>
  <c r="AD159" i="8"/>
  <c r="AB159" i="8"/>
  <c r="Z159" i="8"/>
  <c r="V159" i="8"/>
  <c r="AF159" i="8" s="1"/>
  <c r="S159" i="8"/>
  <c r="AC159" i="8" s="1"/>
  <c r="Q159" i="8"/>
  <c r="AA159" i="8" s="1"/>
  <c r="AE158" i="8"/>
  <c r="AD158" i="8"/>
  <c r="AB158" i="8"/>
  <c r="Z158" i="8"/>
  <c r="V158" i="8"/>
  <c r="W158" i="8" s="1"/>
  <c r="AG158" i="8" s="1"/>
  <c r="S158" i="8"/>
  <c r="AC158" i="8" s="1"/>
  <c r="Q158" i="8"/>
  <c r="AA158" i="8" s="1"/>
  <c r="AD157" i="8"/>
  <c r="AB157" i="8"/>
  <c r="Z157" i="8"/>
  <c r="V157" i="8"/>
  <c r="W157" i="8" s="1"/>
  <c r="AG157" i="8" s="1"/>
  <c r="U157" i="8"/>
  <c r="AE157" i="8" s="1"/>
  <c r="S157" i="8"/>
  <c r="AC157" i="8" s="1"/>
  <c r="Q157" i="8"/>
  <c r="AA157" i="8" s="1"/>
  <c r="AE156" i="8"/>
  <c r="AD156" i="8"/>
  <c r="AB156" i="8"/>
  <c r="Z156" i="8"/>
  <c r="V156" i="8"/>
  <c r="S156" i="8"/>
  <c r="AC156" i="8" s="1"/>
  <c r="Q156" i="8"/>
  <c r="AA156" i="8" s="1"/>
  <c r="AD155" i="8"/>
  <c r="AB155" i="8"/>
  <c r="Z155" i="8"/>
  <c r="V155" i="8"/>
  <c r="W155" i="8" s="1"/>
  <c r="AG155" i="8" s="1"/>
  <c r="U155" i="8"/>
  <c r="AE155" i="8" s="1"/>
  <c r="S155" i="8"/>
  <c r="AC155" i="8" s="1"/>
  <c r="Q155" i="8"/>
  <c r="AA155" i="8" s="1"/>
  <c r="AD154" i="8"/>
  <c r="AB154" i="8"/>
  <c r="Z154" i="8"/>
  <c r="V154" i="8"/>
  <c r="W154" i="8" s="1"/>
  <c r="AG154" i="8" s="1"/>
  <c r="U154" i="8"/>
  <c r="AE154" i="8" s="1"/>
  <c r="S154" i="8"/>
  <c r="AC154" i="8" s="1"/>
  <c r="Q154" i="8"/>
  <c r="AA154" i="8" s="1"/>
  <c r="AD153" i="8"/>
  <c r="AB153" i="8"/>
  <c r="Z153" i="8"/>
  <c r="V153" i="8"/>
  <c r="AF153" i="8" s="1"/>
  <c r="U153" i="8"/>
  <c r="AE153" i="8" s="1"/>
  <c r="S153" i="8"/>
  <c r="AC153" i="8" s="1"/>
  <c r="Q153" i="8"/>
  <c r="AA153" i="8" s="1"/>
  <c r="AE152" i="8"/>
  <c r="AD152" i="8"/>
  <c r="AB152" i="8"/>
  <c r="Z152" i="8"/>
  <c r="V152" i="8"/>
  <c r="AF152" i="8" s="1"/>
  <c r="S152" i="8"/>
  <c r="AC152" i="8" s="1"/>
  <c r="Q152" i="8"/>
  <c r="AA152" i="8" s="1"/>
  <c r="AE151" i="8"/>
  <c r="AD151" i="8"/>
  <c r="AB151" i="8"/>
  <c r="Z151" i="8"/>
  <c r="V151" i="8"/>
  <c r="W151" i="8" s="1"/>
  <c r="AG151" i="8" s="1"/>
  <c r="S151" i="8"/>
  <c r="AC151" i="8" s="1"/>
  <c r="Q151" i="8"/>
  <c r="AA151" i="8" s="1"/>
  <c r="AE150" i="8"/>
  <c r="AD150" i="8"/>
  <c r="AB150" i="8"/>
  <c r="Z150" i="8"/>
  <c r="V150" i="8"/>
  <c r="AF150" i="8" s="1"/>
  <c r="S150" i="8"/>
  <c r="AC150" i="8" s="1"/>
  <c r="Q150" i="8"/>
  <c r="AA150" i="8" s="1"/>
  <c r="AE149" i="8"/>
  <c r="AD149" i="8"/>
  <c r="AB149" i="8"/>
  <c r="Z149" i="8"/>
  <c r="V149" i="8"/>
  <c r="AF149" i="8" s="1"/>
  <c r="S149" i="8"/>
  <c r="AC149" i="8" s="1"/>
  <c r="Q149" i="8"/>
  <c r="AA149" i="8" s="1"/>
  <c r="AE148" i="8"/>
  <c r="AD148" i="8"/>
  <c r="AB148" i="8"/>
  <c r="Z148" i="8"/>
  <c r="V148" i="8"/>
  <c r="W148" i="8" s="1"/>
  <c r="AG148" i="8" s="1"/>
  <c r="S148" i="8"/>
  <c r="AC148" i="8" s="1"/>
  <c r="Q148" i="8"/>
  <c r="AA148" i="8" s="1"/>
  <c r="AE147" i="8"/>
  <c r="AD147" i="8"/>
  <c r="AB147" i="8"/>
  <c r="Z147" i="8"/>
  <c r="V147" i="8"/>
  <c r="AF147" i="8" s="1"/>
  <c r="S147" i="8"/>
  <c r="AC147" i="8" s="1"/>
  <c r="Q147" i="8"/>
  <c r="AA147" i="8" s="1"/>
  <c r="AD146" i="8"/>
  <c r="AB146" i="8"/>
  <c r="Z146" i="8"/>
  <c r="V146" i="8"/>
  <c r="AF146" i="8" s="1"/>
  <c r="U146" i="8"/>
  <c r="AE146" i="8" s="1"/>
  <c r="S146" i="8"/>
  <c r="AC146" i="8" s="1"/>
  <c r="Q146" i="8"/>
  <c r="AA146" i="8" s="1"/>
  <c r="AE145" i="8"/>
  <c r="AD145" i="8"/>
  <c r="AB145" i="8"/>
  <c r="Z145" i="8"/>
  <c r="V145" i="8"/>
  <c r="W145" i="8" s="1"/>
  <c r="AG145" i="8" s="1"/>
  <c r="S145" i="8"/>
  <c r="AC145" i="8" s="1"/>
  <c r="Q145" i="8"/>
  <c r="AA145" i="8" s="1"/>
  <c r="AD144" i="8"/>
  <c r="AB144" i="8"/>
  <c r="Z144" i="8"/>
  <c r="V144" i="8"/>
  <c r="AF144" i="8" s="1"/>
  <c r="U144" i="8"/>
  <c r="AE144" i="8" s="1"/>
  <c r="S144" i="8"/>
  <c r="AC144" i="8" s="1"/>
  <c r="Q144" i="8"/>
  <c r="AA144" i="8" s="1"/>
  <c r="AE143" i="8"/>
  <c r="AD143" i="8"/>
  <c r="AB143" i="8"/>
  <c r="Z143" i="8"/>
  <c r="V143" i="8"/>
  <c r="AF143" i="8" s="1"/>
  <c r="S143" i="8"/>
  <c r="AC143" i="8" s="1"/>
  <c r="Q143" i="8"/>
  <c r="AA143" i="8" s="1"/>
  <c r="AE142" i="8"/>
  <c r="AD142" i="8"/>
  <c r="AB142" i="8"/>
  <c r="Z142" i="8"/>
  <c r="V142" i="8"/>
  <c r="W142" i="8" s="1"/>
  <c r="AG142" i="8" s="1"/>
  <c r="S142" i="8"/>
  <c r="AC142" i="8" s="1"/>
  <c r="Q142" i="8"/>
  <c r="AA142" i="8" s="1"/>
  <c r="AE141" i="8"/>
  <c r="AD141" i="8"/>
  <c r="AB141" i="8"/>
  <c r="Z141" i="8"/>
  <c r="V141" i="8"/>
  <c r="W141" i="8" s="1"/>
  <c r="AG141" i="8" s="1"/>
  <c r="S141" i="8"/>
  <c r="AC141" i="8" s="1"/>
  <c r="Q141" i="8"/>
  <c r="AA141" i="8" s="1"/>
  <c r="AD140" i="8"/>
  <c r="AB140" i="8"/>
  <c r="Z140" i="8"/>
  <c r="V140" i="8"/>
  <c r="AF140" i="8" s="1"/>
  <c r="U140" i="8"/>
  <c r="AE140" i="8" s="1"/>
  <c r="S140" i="8"/>
  <c r="AC140" i="8" s="1"/>
  <c r="Q140" i="8"/>
  <c r="AA140" i="8" s="1"/>
  <c r="AD139" i="8"/>
  <c r="AB139" i="8"/>
  <c r="Z139" i="8"/>
  <c r="V139" i="8"/>
  <c r="W139" i="8" s="1"/>
  <c r="AG139" i="8" s="1"/>
  <c r="U139" i="8"/>
  <c r="AE139" i="8" s="1"/>
  <c r="S139" i="8"/>
  <c r="AC139" i="8" s="1"/>
  <c r="Q139" i="8"/>
  <c r="AA139" i="8" s="1"/>
  <c r="AD138" i="8"/>
  <c r="AB138" i="8"/>
  <c r="Z138" i="8"/>
  <c r="V138" i="8"/>
  <c r="W138" i="8" s="1"/>
  <c r="AG138" i="8" s="1"/>
  <c r="U138" i="8"/>
  <c r="AE138" i="8" s="1"/>
  <c r="S138" i="8"/>
  <c r="AC138" i="8" s="1"/>
  <c r="Q138" i="8"/>
  <c r="AA138" i="8" s="1"/>
  <c r="AD137" i="8"/>
  <c r="AB137" i="8"/>
  <c r="Z137" i="8"/>
  <c r="V137" i="8"/>
  <c r="W137" i="8" s="1"/>
  <c r="AG137" i="8" s="1"/>
  <c r="U137" i="8"/>
  <c r="AE137" i="8" s="1"/>
  <c r="S137" i="8"/>
  <c r="AC137" i="8" s="1"/>
  <c r="Q137" i="8"/>
  <c r="AA137" i="8" s="1"/>
  <c r="AD136" i="8"/>
  <c r="AB136" i="8"/>
  <c r="Z136" i="8"/>
  <c r="V136" i="8"/>
  <c r="W136" i="8" s="1"/>
  <c r="AG136" i="8" s="1"/>
  <c r="U136" i="8"/>
  <c r="AE136" i="8" s="1"/>
  <c r="S136" i="8"/>
  <c r="AC136" i="8" s="1"/>
  <c r="Q136" i="8"/>
  <c r="AA136" i="8" s="1"/>
  <c r="AD135" i="8"/>
  <c r="AB135" i="8"/>
  <c r="Z135" i="8"/>
  <c r="V135" i="8"/>
  <c r="U135" i="8"/>
  <c r="AE135" i="8" s="1"/>
  <c r="S135" i="8"/>
  <c r="AC135" i="8" s="1"/>
  <c r="Q135" i="8"/>
  <c r="AA135" i="8" s="1"/>
  <c r="AD134" i="8"/>
  <c r="AB134" i="8"/>
  <c r="Z134" i="8"/>
  <c r="V134" i="8"/>
  <c r="AF134" i="8" s="1"/>
  <c r="U134" i="8"/>
  <c r="AE134" i="8" s="1"/>
  <c r="S134" i="8"/>
  <c r="AC134" i="8" s="1"/>
  <c r="Q134" i="8"/>
  <c r="AA134" i="8" s="1"/>
  <c r="AE133" i="8"/>
  <c r="AD133" i="8"/>
  <c r="AB133" i="8"/>
  <c r="Z133" i="8"/>
  <c r="V133" i="8"/>
  <c r="AF133" i="8" s="1"/>
  <c r="S133" i="8"/>
  <c r="AC133" i="8" s="1"/>
  <c r="Q133" i="8"/>
  <c r="AA133" i="8" s="1"/>
  <c r="AD132" i="8"/>
  <c r="AB132" i="8"/>
  <c r="Z132" i="8"/>
  <c r="V132" i="8"/>
  <c r="W132" i="8" s="1"/>
  <c r="AG132" i="8" s="1"/>
  <c r="U132" i="8"/>
  <c r="AE132" i="8" s="1"/>
  <c r="S132" i="8"/>
  <c r="AC132" i="8" s="1"/>
  <c r="Q132" i="8"/>
  <c r="AA132" i="8" s="1"/>
  <c r="AE131" i="8"/>
  <c r="AD131" i="8"/>
  <c r="AB131" i="8"/>
  <c r="Z131" i="8"/>
  <c r="V131" i="8"/>
  <c r="AF131" i="8" s="1"/>
  <c r="S131" i="8"/>
  <c r="AC131" i="8" s="1"/>
  <c r="Q131" i="8"/>
  <c r="AA131" i="8" s="1"/>
  <c r="AD130" i="8"/>
  <c r="AB130" i="8"/>
  <c r="Z130" i="8"/>
  <c r="V130" i="8"/>
  <c r="W130" i="8" s="1"/>
  <c r="AG130" i="8" s="1"/>
  <c r="U130" i="8"/>
  <c r="AE130" i="8" s="1"/>
  <c r="S130" i="8"/>
  <c r="AC130" i="8" s="1"/>
  <c r="Q130" i="8"/>
  <c r="AA130" i="8" s="1"/>
  <c r="AE129" i="8"/>
  <c r="AD129" i="8"/>
  <c r="AB129" i="8"/>
  <c r="Z129" i="8"/>
  <c r="V129" i="8"/>
  <c r="AF129" i="8" s="1"/>
  <c r="S129" i="8"/>
  <c r="AC129" i="8" s="1"/>
  <c r="Q129" i="8"/>
  <c r="AA129" i="8" s="1"/>
  <c r="AD128" i="8"/>
  <c r="AB128" i="8"/>
  <c r="Z128" i="8"/>
  <c r="V128" i="8"/>
  <c r="AF128" i="8" s="1"/>
  <c r="U128" i="8"/>
  <c r="AE128" i="8" s="1"/>
  <c r="S128" i="8"/>
  <c r="AC128" i="8" s="1"/>
  <c r="Q128" i="8"/>
  <c r="AA128" i="8" s="1"/>
  <c r="AD127" i="8"/>
  <c r="AB127" i="8"/>
  <c r="AA127" i="8"/>
  <c r="Z127" i="8"/>
  <c r="V127" i="8"/>
  <c r="W127" i="8" s="1"/>
  <c r="AG127" i="8" s="1"/>
  <c r="U127" i="8"/>
  <c r="AE127" i="8" s="1"/>
  <c r="S127" i="8"/>
  <c r="AC127" i="8" s="1"/>
  <c r="AD126" i="8"/>
  <c r="AB126" i="8"/>
  <c r="Z126" i="8"/>
  <c r="V126" i="8"/>
  <c r="AF126" i="8" s="1"/>
  <c r="U126" i="8"/>
  <c r="AE126" i="8" s="1"/>
  <c r="S126" i="8"/>
  <c r="AC126" i="8" s="1"/>
  <c r="Q126" i="8"/>
  <c r="AA126" i="8" s="1"/>
  <c r="AD125" i="8"/>
  <c r="AB125" i="8"/>
  <c r="Z125" i="8"/>
  <c r="V125" i="8"/>
  <c r="AF125" i="8" s="1"/>
  <c r="U125" i="8"/>
  <c r="AE125" i="8" s="1"/>
  <c r="S125" i="8"/>
  <c r="AC125" i="8" s="1"/>
  <c r="Q125" i="8"/>
  <c r="AA125" i="8" s="1"/>
  <c r="AD124" i="8"/>
  <c r="AB124" i="8"/>
  <c r="Z124" i="8"/>
  <c r="V124" i="8"/>
  <c r="W124" i="8" s="1"/>
  <c r="AG124" i="8" s="1"/>
  <c r="U124" i="8"/>
  <c r="AE124" i="8" s="1"/>
  <c r="S124" i="8"/>
  <c r="AC124" i="8" s="1"/>
  <c r="Q124" i="8"/>
  <c r="AA124" i="8" s="1"/>
  <c r="AD123" i="8"/>
  <c r="AB123" i="8"/>
  <c r="Z123" i="8"/>
  <c r="V123" i="8"/>
  <c r="AF123" i="8" s="1"/>
  <c r="U123" i="8"/>
  <c r="AE123" i="8" s="1"/>
  <c r="S123" i="8"/>
  <c r="AC123" i="8" s="1"/>
  <c r="Q123" i="8"/>
  <c r="AA123" i="8" s="1"/>
  <c r="AD122" i="8"/>
  <c r="AB122" i="8"/>
  <c r="Z122" i="8"/>
  <c r="V122" i="8"/>
  <c r="W122" i="8" s="1"/>
  <c r="AG122" i="8" s="1"/>
  <c r="U122" i="8"/>
  <c r="AE122" i="8" s="1"/>
  <c r="S122" i="8"/>
  <c r="AC122" i="8" s="1"/>
  <c r="Q122" i="8"/>
  <c r="AA122" i="8" s="1"/>
  <c r="AD121" i="8"/>
  <c r="AB121" i="8"/>
  <c r="Z121" i="8"/>
  <c r="V121" i="8"/>
  <c r="AF121" i="8" s="1"/>
  <c r="U121" i="8"/>
  <c r="AE121" i="8" s="1"/>
  <c r="S121" i="8"/>
  <c r="AC121" i="8" s="1"/>
  <c r="Q121" i="8"/>
  <c r="AA121" i="8" s="1"/>
  <c r="AE120" i="8"/>
  <c r="AD120" i="8"/>
  <c r="AB120" i="8"/>
  <c r="Z120" i="8"/>
  <c r="V120" i="8"/>
  <c r="AF120" i="8" s="1"/>
  <c r="S120" i="8"/>
  <c r="AC120" i="8" s="1"/>
  <c r="Q120" i="8"/>
  <c r="AA120" i="8" s="1"/>
  <c r="AE119" i="8"/>
  <c r="AD119" i="8"/>
  <c r="AB119" i="8"/>
  <c r="Z119" i="8"/>
  <c r="V119" i="8"/>
  <c r="AF119" i="8" s="1"/>
  <c r="S119" i="8"/>
  <c r="AC119" i="8" s="1"/>
  <c r="Q119" i="8"/>
  <c r="AA119" i="8" s="1"/>
  <c r="AE118" i="8"/>
  <c r="AD118" i="8"/>
  <c r="AB118" i="8"/>
  <c r="Z118" i="8"/>
  <c r="V118" i="8"/>
  <c r="W118" i="8" s="1"/>
  <c r="AG118" i="8" s="1"/>
  <c r="S118" i="8"/>
  <c r="AC118" i="8" s="1"/>
  <c r="Q118" i="8"/>
  <c r="AA118" i="8" s="1"/>
  <c r="AE117" i="8"/>
  <c r="AD117" i="8"/>
  <c r="AB117" i="8"/>
  <c r="Z117" i="8"/>
  <c r="V117" i="8"/>
  <c r="AF117" i="8" s="1"/>
  <c r="S117" i="8"/>
  <c r="AC117" i="8" s="1"/>
  <c r="Q117" i="8"/>
  <c r="AA117" i="8" s="1"/>
  <c r="AE116" i="8"/>
  <c r="AD116" i="8"/>
  <c r="AB116" i="8"/>
  <c r="Z116" i="8"/>
  <c r="V116" i="8"/>
  <c r="AF116" i="8" s="1"/>
  <c r="S116" i="8"/>
  <c r="AC116" i="8" s="1"/>
  <c r="Q116" i="8"/>
  <c r="AA116" i="8" s="1"/>
  <c r="AE115" i="8"/>
  <c r="AD115" i="8"/>
  <c r="AB115" i="8"/>
  <c r="Z115" i="8"/>
  <c r="V115" i="8"/>
  <c r="W115" i="8" s="1"/>
  <c r="AG115" i="8" s="1"/>
  <c r="S115" i="8"/>
  <c r="AC115" i="8" s="1"/>
  <c r="Q115" i="8"/>
  <c r="AA115" i="8" s="1"/>
  <c r="AD114" i="8"/>
  <c r="AB114" i="8"/>
  <c r="Z114" i="8"/>
  <c r="V114" i="8"/>
  <c r="AF114" i="8" s="1"/>
  <c r="U114" i="8"/>
  <c r="AE114" i="8" s="1"/>
  <c r="S114" i="8"/>
  <c r="AC114" i="8" s="1"/>
  <c r="Q114" i="8"/>
  <c r="AA114" i="8" s="1"/>
  <c r="AE113" i="8"/>
  <c r="AD113" i="8"/>
  <c r="AB113" i="8"/>
  <c r="Z113" i="8"/>
  <c r="V113" i="8"/>
  <c r="AF113" i="8" s="1"/>
  <c r="S113" i="8"/>
  <c r="AC113" i="8" s="1"/>
  <c r="Q113" i="8"/>
  <c r="AA113" i="8" s="1"/>
  <c r="AD112" i="8"/>
  <c r="AB112" i="8"/>
  <c r="Z112" i="8"/>
  <c r="V112" i="8"/>
  <c r="W112" i="8" s="1"/>
  <c r="AG112" i="8" s="1"/>
  <c r="U112" i="8"/>
  <c r="AE112" i="8" s="1"/>
  <c r="S112" i="8"/>
  <c r="AC112" i="8" s="1"/>
  <c r="Q112" i="8"/>
  <c r="AA112" i="8" s="1"/>
  <c r="AD111" i="8"/>
  <c r="AB111" i="8"/>
  <c r="Z111" i="8"/>
  <c r="V111" i="8"/>
  <c r="AF111" i="8" s="1"/>
  <c r="U111" i="8"/>
  <c r="AE111" i="8" s="1"/>
  <c r="S111" i="8"/>
  <c r="AC111" i="8" s="1"/>
  <c r="Q111" i="8"/>
  <c r="AA111" i="8" s="1"/>
  <c r="AD110" i="8"/>
  <c r="AB110" i="8"/>
  <c r="Z110" i="8"/>
  <c r="V110" i="8"/>
  <c r="AF110" i="8" s="1"/>
  <c r="U110" i="8"/>
  <c r="AE110" i="8" s="1"/>
  <c r="S110" i="8"/>
  <c r="AC110" i="8" s="1"/>
  <c r="Q110" i="8"/>
  <c r="AA110" i="8" s="1"/>
  <c r="AE109" i="8"/>
  <c r="AD109" i="8"/>
  <c r="AB109" i="8"/>
  <c r="Z109" i="8"/>
  <c r="V109" i="8"/>
  <c r="W109" i="8" s="1"/>
  <c r="AG109" i="8" s="1"/>
  <c r="S109" i="8"/>
  <c r="AC109" i="8" s="1"/>
  <c r="Q109" i="8"/>
  <c r="AA109" i="8" s="1"/>
  <c r="AE108" i="8"/>
  <c r="AD108" i="8"/>
  <c r="AB108" i="8"/>
  <c r="Z108" i="8"/>
  <c r="V108" i="8"/>
  <c r="W108" i="8" s="1"/>
  <c r="AG108" i="8" s="1"/>
  <c r="S108" i="8"/>
  <c r="AC108" i="8" s="1"/>
  <c r="Q108" i="8"/>
  <c r="AA108" i="8" s="1"/>
  <c r="AD107" i="8"/>
  <c r="AB107" i="8"/>
  <c r="Z107" i="8"/>
  <c r="V107" i="8"/>
  <c r="AF107" i="8" s="1"/>
  <c r="U107" i="8"/>
  <c r="AE107" i="8" s="1"/>
  <c r="S107" i="8"/>
  <c r="AC107" i="8" s="1"/>
  <c r="Q107" i="8"/>
  <c r="AA107" i="8" s="1"/>
  <c r="AD106" i="8"/>
  <c r="AB106" i="8"/>
  <c r="Z106" i="8"/>
  <c r="V106" i="8"/>
  <c r="W106" i="8" s="1"/>
  <c r="AG106" i="8" s="1"/>
  <c r="U106" i="8"/>
  <c r="AE106" i="8" s="1"/>
  <c r="S106" i="8"/>
  <c r="AC106" i="8" s="1"/>
  <c r="Q106" i="8"/>
  <c r="AA106" i="8" s="1"/>
  <c r="AD105" i="8"/>
  <c r="AB105" i="8"/>
  <c r="Z105" i="8"/>
  <c r="V105" i="8"/>
  <c r="AF105" i="8" s="1"/>
  <c r="U105" i="8"/>
  <c r="AE105" i="8" s="1"/>
  <c r="S105" i="8"/>
  <c r="AC105" i="8" s="1"/>
  <c r="Q105" i="8"/>
  <c r="AA105" i="8" s="1"/>
  <c r="AD104" i="8"/>
  <c r="AB104" i="8"/>
  <c r="Z104" i="8"/>
  <c r="V104" i="8"/>
  <c r="AF104" i="8" s="1"/>
  <c r="U104" i="8"/>
  <c r="AE104" i="8" s="1"/>
  <c r="S104" i="8"/>
  <c r="AC104" i="8" s="1"/>
  <c r="Q104" i="8"/>
  <c r="AD103" i="8"/>
  <c r="AB103" i="8"/>
  <c r="Z103" i="8"/>
  <c r="V103" i="8"/>
  <c r="AF103" i="8" s="1"/>
  <c r="U103" i="8"/>
  <c r="AE103" i="8" s="1"/>
  <c r="S103" i="8"/>
  <c r="AC103" i="8" s="1"/>
  <c r="Q103" i="8"/>
  <c r="AA103" i="8" s="1"/>
  <c r="AE102" i="8"/>
  <c r="AD102" i="8"/>
  <c r="AB102" i="8"/>
  <c r="Z102" i="8"/>
  <c r="V102" i="8"/>
  <c r="S102" i="8"/>
  <c r="AC102" i="8" s="1"/>
  <c r="Q102" i="8"/>
  <c r="AA102" i="8" s="1"/>
  <c r="AD101" i="8"/>
  <c r="AB101" i="8"/>
  <c r="Z101" i="8"/>
  <c r="V101" i="8"/>
  <c r="AF101" i="8" s="1"/>
  <c r="U101" i="8"/>
  <c r="AE101" i="8" s="1"/>
  <c r="S101" i="8"/>
  <c r="AC101" i="8" s="1"/>
  <c r="Q101" i="8"/>
  <c r="AA101" i="8" s="1"/>
  <c r="AE100" i="8"/>
  <c r="AD100" i="8"/>
  <c r="AB100" i="8"/>
  <c r="Z100" i="8"/>
  <c r="V100" i="8"/>
  <c r="AF100" i="8" s="1"/>
  <c r="S100" i="8"/>
  <c r="AC100" i="8" s="1"/>
  <c r="Q100" i="8"/>
  <c r="AA100" i="8" s="1"/>
  <c r="AD99" i="8"/>
  <c r="AB99" i="8"/>
  <c r="Z99" i="8"/>
  <c r="V99" i="8"/>
  <c r="AF99" i="8" s="1"/>
  <c r="U99" i="8"/>
  <c r="AE99" i="8" s="1"/>
  <c r="S99" i="8"/>
  <c r="AC99" i="8" s="1"/>
  <c r="Q99" i="8"/>
  <c r="AA99" i="8" s="1"/>
  <c r="AE98" i="8"/>
  <c r="AD98" i="8"/>
  <c r="AB98" i="8"/>
  <c r="Z98" i="8"/>
  <c r="V98" i="8"/>
  <c r="AF98" i="8" s="1"/>
  <c r="S98" i="8"/>
  <c r="AC98" i="8" s="1"/>
  <c r="Q98" i="8"/>
  <c r="AA98" i="8" s="1"/>
  <c r="AD97" i="8"/>
  <c r="AB97" i="8"/>
  <c r="Z97" i="8"/>
  <c r="V97" i="8"/>
  <c r="AF97" i="8" s="1"/>
  <c r="U97" i="8"/>
  <c r="AE97" i="8" s="1"/>
  <c r="S97" i="8"/>
  <c r="AC97" i="8" s="1"/>
  <c r="Q97" i="8"/>
  <c r="AA97" i="8" s="1"/>
  <c r="AD96" i="8"/>
  <c r="AB96" i="8"/>
  <c r="Z96" i="8"/>
  <c r="V96" i="8"/>
  <c r="W96" i="8" s="1"/>
  <c r="AG96" i="8" s="1"/>
  <c r="U96" i="8"/>
  <c r="AE96" i="8" s="1"/>
  <c r="S96" i="8"/>
  <c r="AC96" i="8" s="1"/>
  <c r="Q96" i="8"/>
  <c r="AA96" i="8" s="1"/>
  <c r="AE95" i="8"/>
  <c r="AD95" i="8"/>
  <c r="AB95" i="8"/>
  <c r="Z95" i="8"/>
  <c r="V95" i="8"/>
  <c r="AF95" i="8" s="1"/>
  <c r="S95" i="8"/>
  <c r="AC95" i="8" s="1"/>
  <c r="Q95" i="8"/>
  <c r="AA95" i="8" s="1"/>
  <c r="AE94" i="8"/>
  <c r="AD94" i="8"/>
  <c r="AB94" i="8"/>
  <c r="Z94" i="8"/>
  <c r="V94" i="8"/>
  <c r="AF94" i="8" s="1"/>
  <c r="S94" i="8"/>
  <c r="AC94" i="8" s="1"/>
  <c r="Q94" i="8"/>
  <c r="AA94" i="8" s="1"/>
  <c r="AE93" i="8"/>
  <c r="AD93" i="8"/>
  <c r="AB93" i="8"/>
  <c r="Z93" i="8"/>
  <c r="V93" i="8"/>
  <c r="W93" i="8" s="1"/>
  <c r="AG93" i="8" s="1"/>
  <c r="S93" i="8"/>
  <c r="AC93" i="8" s="1"/>
  <c r="Q93" i="8"/>
  <c r="AA93" i="8" s="1"/>
  <c r="AE92" i="8"/>
  <c r="AD92" i="8"/>
  <c r="AB92" i="8"/>
  <c r="Z92" i="8"/>
  <c r="V92" i="8"/>
  <c r="W92" i="8" s="1"/>
  <c r="AG92" i="8" s="1"/>
  <c r="S92" i="8"/>
  <c r="AC92" i="8" s="1"/>
  <c r="Q92" i="8"/>
  <c r="AA92" i="8" s="1"/>
  <c r="AD91" i="8"/>
  <c r="AB91" i="8"/>
  <c r="Z91" i="8"/>
  <c r="V91" i="8"/>
  <c r="AF91" i="8" s="1"/>
  <c r="U91" i="8"/>
  <c r="AE91" i="8" s="1"/>
  <c r="S91" i="8"/>
  <c r="AC91" i="8" s="1"/>
  <c r="Q91" i="8"/>
  <c r="AA91" i="8" s="1"/>
  <c r="AD90" i="8"/>
  <c r="AB90" i="8"/>
  <c r="Z90" i="8"/>
  <c r="V90" i="8"/>
  <c r="W90" i="8" s="1"/>
  <c r="AG90" i="8" s="1"/>
  <c r="U90" i="8"/>
  <c r="AE90" i="8" s="1"/>
  <c r="S90" i="8"/>
  <c r="AC90" i="8" s="1"/>
  <c r="Q90" i="8"/>
  <c r="AA90" i="8" s="1"/>
  <c r="AD89" i="8"/>
  <c r="AB89" i="8"/>
  <c r="Z89" i="8"/>
  <c r="V89" i="8"/>
  <c r="W89" i="8" s="1"/>
  <c r="AG89" i="8" s="1"/>
  <c r="U89" i="8"/>
  <c r="AE89" i="8" s="1"/>
  <c r="S89" i="8"/>
  <c r="AC89" i="8" s="1"/>
  <c r="Q89" i="8"/>
  <c r="AA89" i="8" s="1"/>
  <c r="AD88" i="8"/>
  <c r="AB88" i="8"/>
  <c r="Z88" i="8"/>
  <c r="V88" i="8"/>
  <c r="AF88" i="8" s="1"/>
  <c r="U88" i="8"/>
  <c r="AE88" i="8" s="1"/>
  <c r="S88" i="8"/>
  <c r="AC88" i="8" s="1"/>
  <c r="Q88" i="8"/>
  <c r="AA88" i="8" s="1"/>
  <c r="AD87" i="8"/>
  <c r="AB87" i="8"/>
  <c r="Z87" i="8"/>
  <c r="V87" i="8"/>
  <c r="AF87" i="8" s="1"/>
  <c r="U87" i="8"/>
  <c r="AE87" i="8" s="1"/>
  <c r="S87" i="8"/>
  <c r="AC87" i="8" s="1"/>
  <c r="Q87" i="8"/>
  <c r="AA87" i="8" s="1"/>
  <c r="AD86" i="8"/>
  <c r="AB86" i="8"/>
  <c r="Z86" i="8"/>
  <c r="V86" i="8"/>
  <c r="W86" i="8" s="1"/>
  <c r="AG86" i="8" s="1"/>
  <c r="U86" i="8"/>
  <c r="AE86" i="8" s="1"/>
  <c r="S86" i="8"/>
  <c r="AC86" i="8" s="1"/>
  <c r="Q86" i="8"/>
  <c r="AA86" i="8" s="1"/>
  <c r="AD85" i="8"/>
  <c r="AB85" i="8"/>
  <c r="Z85" i="8"/>
  <c r="V85" i="8"/>
  <c r="W85" i="8" s="1"/>
  <c r="AG85" i="8" s="1"/>
  <c r="U85" i="8"/>
  <c r="AE85" i="8" s="1"/>
  <c r="S85" i="8"/>
  <c r="AC85" i="8" s="1"/>
  <c r="Q85" i="8"/>
  <c r="AA85" i="8" s="1"/>
  <c r="AE84" i="8"/>
  <c r="AD84" i="8"/>
  <c r="AB84" i="8"/>
  <c r="Z84" i="8"/>
  <c r="V84" i="8"/>
  <c r="S84" i="8"/>
  <c r="AC84" i="8" s="1"/>
  <c r="Q84" i="8"/>
  <c r="AA84" i="8" s="1"/>
  <c r="AE83" i="8"/>
  <c r="AD83" i="8"/>
  <c r="AB83" i="8"/>
  <c r="Z83" i="8"/>
  <c r="V83" i="8"/>
  <c r="W83" i="8" s="1"/>
  <c r="AG83" i="8" s="1"/>
  <c r="S83" i="8"/>
  <c r="AC83" i="8" s="1"/>
  <c r="Q83" i="8"/>
  <c r="AA83" i="8" s="1"/>
  <c r="AD82" i="8"/>
  <c r="AB82" i="8"/>
  <c r="Z82" i="8"/>
  <c r="V82" i="8"/>
  <c r="AF82" i="8" s="1"/>
  <c r="U82" i="8"/>
  <c r="AE82" i="8" s="1"/>
  <c r="S82" i="8"/>
  <c r="AC82" i="8" s="1"/>
  <c r="Q82" i="8"/>
  <c r="AA82" i="8" s="1"/>
  <c r="AD81" i="8"/>
  <c r="AB81" i="8"/>
  <c r="Z81" i="8"/>
  <c r="V81" i="8"/>
  <c r="AF81" i="8" s="1"/>
  <c r="U81" i="8"/>
  <c r="AE81" i="8" s="1"/>
  <c r="S81" i="8"/>
  <c r="AC81" i="8" s="1"/>
  <c r="Q81" i="8"/>
  <c r="AA81" i="8" s="1"/>
  <c r="AE80" i="8"/>
  <c r="AD80" i="8"/>
  <c r="AB80" i="8"/>
  <c r="AA80" i="8"/>
  <c r="Z80" i="8"/>
  <c r="V80" i="8"/>
  <c r="AF80" i="8" s="1"/>
  <c r="S80" i="8"/>
  <c r="AC80" i="8" s="1"/>
  <c r="AD79" i="8"/>
  <c r="AB79" i="8"/>
  <c r="Z79" i="8"/>
  <c r="V79" i="8"/>
  <c r="AF79" i="8" s="1"/>
  <c r="U79" i="8"/>
  <c r="AE79" i="8" s="1"/>
  <c r="S79" i="8"/>
  <c r="AC79" i="8" s="1"/>
  <c r="Q79" i="8"/>
  <c r="AA79" i="8" s="1"/>
  <c r="AD78" i="8"/>
  <c r="AB78" i="8"/>
  <c r="Z78" i="8"/>
  <c r="V78" i="8"/>
  <c r="W78" i="8" s="1"/>
  <c r="AG78" i="8" s="1"/>
  <c r="U78" i="8"/>
  <c r="AE78" i="8" s="1"/>
  <c r="S78" i="8"/>
  <c r="AC78" i="8" s="1"/>
  <c r="Q78" i="8"/>
  <c r="AA78" i="8" s="1"/>
  <c r="AD77" i="8"/>
  <c r="AB77" i="8"/>
  <c r="Z77" i="8"/>
  <c r="V77" i="8"/>
  <c r="W77" i="8" s="1"/>
  <c r="AG77" i="8" s="1"/>
  <c r="U77" i="8"/>
  <c r="AE77" i="8" s="1"/>
  <c r="S77" i="8"/>
  <c r="AC77" i="8" s="1"/>
  <c r="Q77" i="8"/>
  <c r="AA77" i="8" s="1"/>
  <c r="AD76" i="8"/>
  <c r="AB76" i="8"/>
  <c r="Z76" i="8"/>
  <c r="V76" i="8"/>
  <c r="U76" i="8"/>
  <c r="AE76" i="8" s="1"/>
  <c r="S76" i="8"/>
  <c r="AC76" i="8" s="1"/>
  <c r="Q76" i="8"/>
  <c r="AA76" i="8" s="1"/>
  <c r="AD75" i="8"/>
  <c r="AB75" i="8"/>
  <c r="Z75" i="8"/>
  <c r="V75" i="8"/>
  <c r="AF75" i="8" s="1"/>
  <c r="U75" i="8"/>
  <c r="AE75" i="8" s="1"/>
  <c r="S75" i="8"/>
  <c r="AC75" i="8" s="1"/>
  <c r="Q75" i="8"/>
  <c r="AA75" i="8" s="1"/>
  <c r="AD74" i="8"/>
  <c r="AB74" i="8"/>
  <c r="Z74" i="8"/>
  <c r="V74" i="8"/>
  <c r="AF74" i="8" s="1"/>
  <c r="U74" i="8"/>
  <c r="AE74" i="8" s="1"/>
  <c r="S74" i="8"/>
  <c r="AC74" i="8" s="1"/>
  <c r="Q74" i="8"/>
  <c r="AA74" i="8" s="1"/>
  <c r="AD73" i="8"/>
  <c r="AB73" i="8"/>
  <c r="Z73" i="8"/>
  <c r="V73" i="8"/>
  <c r="W73" i="8" s="1"/>
  <c r="AG73" i="8" s="1"/>
  <c r="U73" i="8"/>
  <c r="AE73" i="8" s="1"/>
  <c r="S73" i="8"/>
  <c r="AC73" i="8" s="1"/>
  <c r="Q73" i="8"/>
  <c r="AA73" i="8" s="1"/>
  <c r="AD72" i="8"/>
  <c r="AB72" i="8"/>
  <c r="Z72" i="8"/>
  <c r="V72" i="8"/>
  <c r="AF72" i="8" s="1"/>
  <c r="U72" i="8"/>
  <c r="AE72" i="8" s="1"/>
  <c r="S72" i="8"/>
  <c r="AC72" i="8" s="1"/>
  <c r="Q72" i="8"/>
  <c r="AA72" i="8" s="1"/>
  <c r="AD71" i="8"/>
  <c r="AB71" i="8"/>
  <c r="Z71" i="8"/>
  <c r="V71" i="8"/>
  <c r="W71" i="8" s="1"/>
  <c r="AG71" i="8" s="1"/>
  <c r="U71" i="8"/>
  <c r="AE71" i="8" s="1"/>
  <c r="S71" i="8"/>
  <c r="AC71" i="8" s="1"/>
  <c r="Q71" i="8"/>
  <c r="AA71" i="8" s="1"/>
  <c r="AD70" i="8"/>
  <c r="AB70" i="8"/>
  <c r="Z70" i="8"/>
  <c r="V70" i="8"/>
  <c r="AF70" i="8" s="1"/>
  <c r="U70" i="8"/>
  <c r="AE70" i="8" s="1"/>
  <c r="S70" i="8"/>
  <c r="AC70" i="8" s="1"/>
  <c r="Q70" i="8"/>
  <c r="AA70" i="8" s="1"/>
  <c r="AD69" i="8"/>
  <c r="AB69" i="8"/>
  <c r="Z69" i="8"/>
  <c r="V69" i="8"/>
  <c r="AF69" i="8" s="1"/>
  <c r="U69" i="8"/>
  <c r="AE69" i="8" s="1"/>
  <c r="S69" i="8"/>
  <c r="AC69" i="8" s="1"/>
  <c r="Q69" i="8"/>
  <c r="AA69" i="8" s="1"/>
  <c r="AD68" i="8"/>
  <c r="AB68" i="8"/>
  <c r="Z68" i="8"/>
  <c r="V68" i="8"/>
  <c r="AF68" i="8" s="1"/>
  <c r="U68" i="8"/>
  <c r="AE68" i="8" s="1"/>
  <c r="S68" i="8"/>
  <c r="AC68" i="8" s="1"/>
  <c r="Q68" i="8"/>
  <c r="AA68" i="8" s="1"/>
  <c r="AD67" i="8"/>
  <c r="AB67" i="8"/>
  <c r="Z67" i="8"/>
  <c r="V67" i="8"/>
  <c r="W67" i="8" s="1"/>
  <c r="AG67" i="8" s="1"/>
  <c r="U67" i="8"/>
  <c r="AE67" i="8" s="1"/>
  <c r="S67" i="8"/>
  <c r="AC67" i="8" s="1"/>
  <c r="Q67" i="8"/>
  <c r="AA67" i="8" s="1"/>
  <c r="AD66" i="8"/>
  <c r="AB66" i="8"/>
  <c r="Z66" i="8"/>
  <c r="V66" i="8"/>
  <c r="W66" i="8" s="1"/>
  <c r="AG66" i="8" s="1"/>
  <c r="U66" i="8"/>
  <c r="AE66" i="8" s="1"/>
  <c r="S66" i="8"/>
  <c r="AC66" i="8" s="1"/>
  <c r="Q66" i="8"/>
  <c r="AA66" i="8" s="1"/>
  <c r="AD65" i="8"/>
  <c r="AB65" i="8"/>
  <c r="Z65" i="8"/>
  <c r="V65" i="8"/>
  <c r="AF65" i="8" s="1"/>
  <c r="U65" i="8"/>
  <c r="AE65" i="8" s="1"/>
  <c r="S65" i="8"/>
  <c r="AC65" i="8" s="1"/>
  <c r="Q65" i="8"/>
  <c r="AA65" i="8" s="1"/>
  <c r="AD64" i="8"/>
  <c r="AB64" i="8"/>
  <c r="Z64" i="8"/>
  <c r="V64" i="8"/>
  <c r="W64" i="8" s="1"/>
  <c r="AG64" i="8" s="1"/>
  <c r="U64" i="8"/>
  <c r="AE64" i="8" s="1"/>
  <c r="S64" i="8"/>
  <c r="AC64" i="8" s="1"/>
  <c r="Q64" i="8"/>
  <c r="AA64" i="8" s="1"/>
  <c r="AD63" i="8"/>
  <c r="AB63" i="8"/>
  <c r="Z63" i="8"/>
  <c r="V63" i="8"/>
  <c r="W63" i="8" s="1"/>
  <c r="AG63" i="8" s="1"/>
  <c r="U63" i="8"/>
  <c r="AE63" i="8" s="1"/>
  <c r="S63" i="8"/>
  <c r="AC63" i="8" s="1"/>
  <c r="Q63" i="8"/>
  <c r="AA63" i="8" s="1"/>
  <c r="AD62" i="8"/>
  <c r="AB62" i="8"/>
  <c r="Z62" i="8"/>
  <c r="V62" i="8"/>
  <c r="AF62" i="8" s="1"/>
  <c r="U62" i="8"/>
  <c r="AE62" i="8" s="1"/>
  <c r="S62" i="8"/>
  <c r="AC62" i="8" s="1"/>
  <c r="Q62" i="8"/>
  <c r="AA62" i="8" s="1"/>
  <c r="AD61" i="8"/>
  <c r="AB61" i="8"/>
  <c r="Z61" i="8"/>
  <c r="V61" i="8"/>
  <c r="AF61" i="8" s="1"/>
  <c r="U61" i="8"/>
  <c r="AE61" i="8" s="1"/>
  <c r="S61" i="8"/>
  <c r="AC61" i="8" s="1"/>
  <c r="Q61" i="8"/>
  <c r="AA61" i="8" s="1"/>
  <c r="AD60" i="8"/>
  <c r="AB60" i="8"/>
  <c r="Z60" i="8"/>
  <c r="V60" i="8"/>
  <c r="W60" i="8" s="1"/>
  <c r="AG60" i="8" s="1"/>
  <c r="U60" i="8"/>
  <c r="AE60" i="8" s="1"/>
  <c r="S60" i="8"/>
  <c r="AC60" i="8" s="1"/>
  <c r="Q60" i="8"/>
  <c r="AA60" i="8" s="1"/>
  <c r="AD59" i="8"/>
  <c r="AB59" i="8"/>
  <c r="Z59" i="8"/>
  <c r="V59" i="8"/>
  <c r="AF59" i="8" s="1"/>
  <c r="U59" i="8"/>
  <c r="AE59" i="8" s="1"/>
  <c r="S59" i="8"/>
  <c r="AC59" i="8" s="1"/>
  <c r="Q59" i="8"/>
  <c r="AA59" i="8" s="1"/>
  <c r="AD58" i="8"/>
  <c r="AB58" i="8"/>
  <c r="Z58" i="8"/>
  <c r="V58" i="8"/>
  <c r="U58" i="8"/>
  <c r="AE58" i="8" s="1"/>
  <c r="S58" i="8"/>
  <c r="AC58" i="8" s="1"/>
  <c r="Q58" i="8"/>
  <c r="AA58" i="8" s="1"/>
  <c r="AD57" i="8"/>
  <c r="AB57" i="8"/>
  <c r="Z57" i="8"/>
  <c r="V57" i="8"/>
  <c r="AF57" i="8" s="1"/>
  <c r="U57" i="8"/>
  <c r="AE57" i="8" s="1"/>
  <c r="S57" i="8"/>
  <c r="AC57" i="8" s="1"/>
  <c r="Q57" i="8"/>
  <c r="AA57" i="8" s="1"/>
  <c r="AD56" i="8"/>
  <c r="AB56" i="8"/>
  <c r="Z56" i="8"/>
  <c r="V56" i="8"/>
  <c r="W56" i="8" s="1"/>
  <c r="AG56" i="8" s="1"/>
  <c r="U56" i="8"/>
  <c r="AE56" i="8" s="1"/>
  <c r="S56" i="8"/>
  <c r="AC56" i="8" s="1"/>
  <c r="Q56" i="8"/>
  <c r="AA56" i="8" s="1"/>
  <c r="AD55" i="8"/>
  <c r="AB55" i="8"/>
  <c r="Z55" i="8"/>
  <c r="V55" i="8"/>
  <c r="AF55" i="8" s="1"/>
  <c r="U55" i="8"/>
  <c r="AE55" i="8" s="1"/>
  <c r="S55" i="8"/>
  <c r="AC55" i="8" s="1"/>
  <c r="Q55" i="8"/>
  <c r="AA55" i="8" s="1"/>
  <c r="AD54" i="8"/>
  <c r="AB54" i="8"/>
  <c r="Z54" i="8"/>
  <c r="V54" i="8"/>
  <c r="AF54" i="8" s="1"/>
  <c r="U54" i="8"/>
  <c r="AE54" i="8" s="1"/>
  <c r="S54" i="8"/>
  <c r="AC54" i="8" s="1"/>
  <c r="Q54" i="8"/>
  <c r="AA54" i="8" s="1"/>
  <c r="AD53" i="8"/>
  <c r="AB53" i="8"/>
  <c r="Z53" i="8"/>
  <c r="V53" i="8"/>
  <c r="W53" i="8" s="1"/>
  <c r="AG53" i="8" s="1"/>
  <c r="U53" i="8"/>
  <c r="AE53" i="8" s="1"/>
  <c r="S53" i="8"/>
  <c r="AC53" i="8" s="1"/>
  <c r="Q53" i="8"/>
  <c r="AA53" i="8" s="1"/>
  <c r="AD52" i="8"/>
  <c r="AB52" i="8"/>
  <c r="Z52" i="8"/>
  <c r="V52" i="8"/>
  <c r="W52" i="8" s="1"/>
  <c r="AG52" i="8" s="1"/>
  <c r="U52" i="8"/>
  <c r="AE52" i="8" s="1"/>
  <c r="S52" i="8"/>
  <c r="AC52" i="8" s="1"/>
  <c r="Q52" i="8"/>
  <c r="AA52" i="8" s="1"/>
  <c r="AD51" i="8"/>
  <c r="AB51" i="8"/>
  <c r="Z51" i="8"/>
  <c r="V51" i="8"/>
  <c r="AF51" i="8" s="1"/>
  <c r="U51" i="8"/>
  <c r="AE51" i="8" s="1"/>
  <c r="S51" i="8"/>
  <c r="AC51" i="8" s="1"/>
  <c r="Q51" i="8"/>
  <c r="AA51" i="8" s="1"/>
  <c r="AD50" i="8"/>
  <c r="AB50" i="8"/>
  <c r="Z50" i="8"/>
  <c r="V50" i="8"/>
  <c r="AF50" i="8" s="1"/>
  <c r="U50" i="8"/>
  <c r="AE50" i="8" s="1"/>
  <c r="S50" i="8"/>
  <c r="AC50" i="8" s="1"/>
  <c r="Q50" i="8"/>
  <c r="AA50" i="8" s="1"/>
  <c r="AD49" i="8"/>
  <c r="AB49" i="8"/>
  <c r="Z49" i="8"/>
  <c r="V49" i="8"/>
  <c r="W49" i="8" s="1"/>
  <c r="AG49" i="8" s="1"/>
  <c r="U49" i="8"/>
  <c r="AE49" i="8" s="1"/>
  <c r="S49" i="8"/>
  <c r="AC49" i="8" s="1"/>
  <c r="Q49" i="8"/>
  <c r="AA49" i="8" s="1"/>
  <c r="AD48" i="8"/>
  <c r="AB48" i="8"/>
  <c r="Z48" i="8"/>
  <c r="V48" i="8"/>
  <c r="W48" i="8" s="1"/>
  <c r="AG48" i="8" s="1"/>
  <c r="U48" i="8"/>
  <c r="AE48" i="8" s="1"/>
  <c r="S48" i="8"/>
  <c r="AC48" i="8" s="1"/>
  <c r="Q48" i="8"/>
  <c r="AA48" i="8" s="1"/>
  <c r="AD47" i="8"/>
  <c r="AB47" i="8"/>
  <c r="Z47" i="8"/>
  <c r="V47" i="8"/>
  <c r="AF47" i="8" s="1"/>
  <c r="U47" i="8"/>
  <c r="AE47" i="8" s="1"/>
  <c r="S47" i="8"/>
  <c r="AC47" i="8" s="1"/>
  <c r="Q47" i="8"/>
  <c r="AA47" i="8" s="1"/>
  <c r="AD46" i="8"/>
  <c r="AB46" i="8"/>
  <c r="Z46" i="8"/>
  <c r="V46" i="8"/>
  <c r="W46" i="8" s="1"/>
  <c r="AG46" i="8" s="1"/>
  <c r="U46" i="8"/>
  <c r="AE46" i="8" s="1"/>
  <c r="S46" i="8"/>
  <c r="AC46" i="8" s="1"/>
  <c r="Q46" i="8"/>
  <c r="AA46" i="8" s="1"/>
  <c r="AD45" i="8"/>
  <c r="AB45" i="8"/>
  <c r="Z45" i="8"/>
  <c r="V45" i="8"/>
  <c r="W45" i="8" s="1"/>
  <c r="AG45" i="8" s="1"/>
  <c r="U45" i="8"/>
  <c r="AE45" i="8" s="1"/>
  <c r="S45" i="8"/>
  <c r="AC45" i="8" s="1"/>
  <c r="Q45" i="8"/>
  <c r="AA45" i="8" s="1"/>
  <c r="AD44" i="8"/>
  <c r="AB44" i="8"/>
  <c r="Z44" i="8"/>
  <c r="V44" i="8"/>
  <c r="AF44" i="8" s="1"/>
  <c r="U44" i="8"/>
  <c r="AE44" i="8" s="1"/>
  <c r="S44" i="8"/>
  <c r="AC44" i="8" s="1"/>
  <c r="Q44" i="8"/>
  <c r="AA44" i="8" s="1"/>
  <c r="AD43" i="8"/>
  <c r="AB43" i="8"/>
  <c r="Z43" i="8"/>
  <c r="V43" i="8"/>
  <c r="AF43" i="8" s="1"/>
  <c r="U43" i="8"/>
  <c r="AE43" i="8" s="1"/>
  <c r="S43" i="8"/>
  <c r="AC43" i="8" s="1"/>
  <c r="Q43" i="8"/>
  <c r="AA43" i="8" s="1"/>
  <c r="AD42" i="8"/>
  <c r="AB42" i="8"/>
  <c r="Z42" i="8"/>
  <c r="V42" i="8"/>
  <c r="W42" i="8" s="1"/>
  <c r="AG42" i="8" s="1"/>
  <c r="U42" i="8"/>
  <c r="AE42" i="8" s="1"/>
  <c r="S42" i="8"/>
  <c r="AC42" i="8" s="1"/>
  <c r="Q42" i="8"/>
  <c r="AA42" i="8" s="1"/>
  <c r="AD41" i="8"/>
  <c r="AB41" i="8"/>
  <c r="Z41" i="8"/>
  <c r="V41" i="8"/>
  <c r="W41" i="8" s="1"/>
  <c r="AG41" i="8" s="1"/>
  <c r="U41" i="8"/>
  <c r="AE41" i="8" s="1"/>
  <c r="S41" i="8"/>
  <c r="AC41" i="8" s="1"/>
  <c r="Q41" i="8"/>
  <c r="AA41" i="8" s="1"/>
  <c r="AD40" i="8"/>
  <c r="AB40" i="8"/>
  <c r="Z40" i="8"/>
  <c r="V40" i="8"/>
  <c r="U40" i="8"/>
  <c r="AE40" i="8" s="1"/>
  <c r="S40" i="8"/>
  <c r="AC40" i="8" s="1"/>
  <c r="Q40" i="8"/>
  <c r="AA40" i="8" s="1"/>
  <c r="AD39" i="8"/>
  <c r="AB39" i="8"/>
  <c r="Z39" i="8"/>
  <c r="V39" i="8"/>
  <c r="AF39" i="8" s="1"/>
  <c r="U39" i="8"/>
  <c r="AE39" i="8" s="1"/>
  <c r="S39" i="8"/>
  <c r="AC39" i="8" s="1"/>
  <c r="Q39" i="8"/>
  <c r="AA39" i="8" s="1"/>
  <c r="AD38" i="8"/>
  <c r="AB38" i="8"/>
  <c r="Z38" i="8"/>
  <c r="V38" i="8"/>
  <c r="AF38" i="8" s="1"/>
  <c r="U38" i="8"/>
  <c r="AE38" i="8" s="1"/>
  <c r="S38" i="8"/>
  <c r="AC38" i="8" s="1"/>
  <c r="Q38" i="8"/>
  <c r="AA38" i="8" s="1"/>
  <c r="AD37" i="8"/>
  <c r="AB37" i="8"/>
  <c r="Z37" i="8"/>
  <c r="V37" i="8"/>
  <c r="AF37" i="8" s="1"/>
  <c r="U37" i="8"/>
  <c r="AE37" i="8" s="1"/>
  <c r="S37" i="8"/>
  <c r="AC37" i="8" s="1"/>
  <c r="Q37" i="8"/>
  <c r="AA37" i="8" s="1"/>
  <c r="AD36" i="8"/>
  <c r="AB36" i="8"/>
  <c r="Z36" i="8"/>
  <c r="V36" i="8"/>
  <c r="AF36" i="8" s="1"/>
  <c r="U36" i="8"/>
  <c r="AE36" i="8" s="1"/>
  <c r="S36" i="8"/>
  <c r="AC36" i="8" s="1"/>
  <c r="Q36" i="8"/>
  <c r="AA36" i="8" s="1"/>
  <c r="AD35" i="8"/>
  <c r="AB35" i="8"/>
  <c r="Z35" i="8"/>
  <c r="V35" i="8"/>
  <c r="W35" i="8" s="1"/>
  <c r="AG35" i="8" s="1"/>
  <c r="U35" i="8"/>
  <c r="AE35" i="8" s="1"/>
  <c r="S35" i="8"/>
  <c r="AC35" i="8" s="1"/>
  <c r="Q35" i="8"/>
  <c r="AA35" i="8" s="1"/>
  <c r="AD34" i="8"/>
  <c r="AB34" i="8"/>
  <c r="Z34" i="8"/>
  <c r="V34" i="8"/>
  <c r="W34" i="8" s="1"/>
  <c r="AG34" i="8" s="1"/>
  <c r="U34" i="8"/>
  <c r="AE34" i="8" s="1"/>
  <c r="S34" i="8"/>
  <c r="AC34" i="8" s="1"/>
  <c r="Q34" i="8"/>
  <c r="AA34" i="8" s="1"/>
  <c r="AD33" i="8"/>
  <c r="AB33" i="8"/>
  <c r="Z33" i="8"/>
  <c r="V33" i="8"/>
  <c r="AF33" i="8" s="1"/>
  <c r="U33" i="8"/>
  <c r="AE33" i="8" s="1"/>
  <c r="S33" i="8"/>
  <c r="AC33" i="8" s="1"/>
  <c r="Q33" i="8"/>
  <c r="AA33" i="8" s="1"/>
  <c r="AD32" i="8"/>
  <c r="AB32" i="8"/>
  <c r="Z32" i="8"/>
  <c r="V32" i="8"/>
  <c r="AF32" i="8" s="1"/>
  <c r="U32" i="8"/>
  <c r="AE32" i="8" s="1"/>
  <c r="S32" i="8"/>
  <c r="AC32" i="8" s="1"/>
  <c r="Q32" i="8"/>
  <c r="AA32" i="8" s="1"/>
  <c r="AD31" i="8"/>
  <c r="AB31" i="8"/>
  <c r="Z31" i="8"/>
  <c r="V31" i="8"/>
  <c r="AF31" i="8" s="1"/>
  <c r="U31" i="8"/>
  <c r="AE31" i="8" s="1"/>
  <c r="S31" i="8"/>
  <c r="AC31" i="8" s="1"/>
  <c r="Q31" i="8"/>
  <c r="AA31" i="8" s="1"/>
  <c r="AD30" i="8"/>
  <c r="AB30" i="8"/>
  <c r="Z30" i="8"/>
  <c r="V30" i="8"/>
  <c r="AF30" i="8" s="1"/>
  <c r="U30" i="8"/>
  <c r="AE30" i="8" s="1"/>
  <c r="S30" i="8"/>
  <c r="AC30" i="8" s="1"/>
  <c r="Q30" i="8"/>
  <c r="AA30" i="8" s="1"/>
  <c r="AD29" i="8"/>
  <c r="AB29" i="8"/>
  <c r="Z29" i="8"/>
  <c r="V29" i="8"/>
  <c r="AF29" i="8" s="1"/>
  <c r="U29" i="8"/>
  <c r="AE29" i="8" s="1"/>
  <c r="S29" i="8"/>
  <c r="AC29" i="8" s="1"/>
  <c r="Q29" i="8"/>
  <c r="AA29" i="8" s="1"/>
  <c r="AD28" i="8"/>
  <c r="AB28" i="8"/>
  <c r="Z28" i="8"/>
  <c r="V28" i="8"/>
  <c r="W28" i="8" s="1"/>
  <c r="AG28" i="8" s="1"/>
  <c r="U28" i="8"/>
  <c r="AE28" i="8" s="1"/>
  <c r="S28" i="8"/>
  <c r="AC28" i="8" s="1"/>
  <c r="Q28" i="8"/>
  <c r="AA28" i="8" s="1"/>
  <c r="AD27" i="8"/>
  <c r="AB27" i="8"/>
  <c r="Z27" i="8"/>
  <c r="V27" i="8"/>
  <c r="W27" i="8" s="1"/>
  <c r="AG27" i="8" s="1"/>
  <c r="U27" i="8"/>
  <c r="AE27" i="8" s="1"/>
  <c r="S27" i="8"/>
  <c r="AC27" i="8" s="1"/>
  <c r="Q27" i="8"/>
  <c r="AA27" i="8" s="1"/>
  <c r="AD26" i="8"/>
  <c r="AB26" i="8"/>
  <c r="Z26" i="8"/>
  <c r="V26" i="8"/>
  <c r="W26" i="8" s="1"/>
  <c r="AG26" i="8" s="1"/>
  <c r="U26" i="8"/>
  <c r="AE26" i="8" s="1"/>
  <c r="S26" i="8"/>
  <c r="AC26" i="8" s="1"/>
  <c r="Q26" i="8"/>
  <c r="AA26" i="8" s="1"/>
  <c r="AD25" i="8"/>
  <c r="AB25" i="8"/>
  <c r="Z25" i="8"/>
  <c r="V25" i="8"/>
  <c r="AF25" i="8" s="1"/>
  <c r="U25" i="8"/>
  <c r="AE25" i="8" s="1"/>
  <c r="S25" i="8"/>
  <c r="AC25" i="8" s="1"/>
  <c r="Q25" i="8"/>
  <c r="AA25" i="8" s="1"/>
  <c r="AD24" i="8"/>
  <c r="AB24" i="8"/>
  <c r="Z24" i="8"/>
  <c r="V24" i="8"/>
  <c r="W24" i="8" s="1"/>
  <c r="AG24" i="8" s="1"/>
  <c r="U24" i="8"/>
  <c r="AE24" i="8" s="1"/>
  <c r="S24" i="8"/>
  <c r="AC24" i="8" s="1"/>
  <c r="Q24" i="8"/>
  <c r="AA24" i="8" s="1"/>
  <c r="AD23" i="8"/>
  <c r="AB23" i="8"/>
  <c r="Z23" i="8"/>
  <c r="V23" i="8"/>
  <c r="W23" i="8" s="1"/>
  <c r="AG23" i="8" s="1"/>
  <c r="U23" i="8"/>
  <c r="AE23" i="8" s="1"/>
  <c r="S23" i="8"/>
  <c r="AC23" i="8" s="1"/>
  <c r="Q23" i="8"/>
  <c r="AA23" i="8" s="1"/>
  <c r="AD22" i="8"/>
  <c r="AB22" i="8"/>
  <c r="Z22" i="8"/>
  <c r="V22" i="8"/>
  <c r="AF22" i="8" s="1"/>
  <c r="U22" i="8"/>
  <c r="AE22" i="8" s="1"/>
  <c r="S22" i="8"/>
  <c r="AC22" i="8" s="1"/>
  <c r="Q22" i="8"/>
  <c r="AA22" i="8" s="1"/>
  <c r="AD21" i="8"/>
  <c r="AB21" i="8"/>
  <c r="Z21" i="8"/>
  <c r="V21" i="8"/>
  <c r="AF21" i="8" s="1"/>
  <c r="U21" i="8"/>
  <c r="AE21" i="8" s="1"/>
  <c r="S21" i="8"/>
  <c r="AC21" i="8" s="1"/>
  <c r="Q21" i="8"/>
  <c r="AA21" i="8" s="1"/>
  <c r="AD20" i="8"/>
  <c r="AB20" i="8"/>
  <c r="Z20" i="8"/>
  <c r="V20" i="8"/>
  <c r="W20" i="8" s="1"/>
  <c r="AG20" i="8" s="1"/>
  <c r="U20" i="8"/>
  <c r="AE20" i="8" s="1"/>
  <c r="S20" i="8"/>
  <c r="AC20" i="8" s="1"/>
  <c r="Q20" i="8"/>
  <c r="AA20" i="8" s="1"/>
  <c r="AD19" i="8"/>
  <c r="AB19" i="8"/>
  <c r="Z19" i="8"/>
  <c r="V19" i="8"/>
  <c r="AF19" i="8" s="1"/>
  <c r="U19" i="8"/>
  <c r="AE19" i="8" s="1"/>
  <c r="S19" i="8"/>
  <c r="AC19" i="8" s="1"/>
  <c r="Q19" i="8"/>
  <c r="AA19" i="8" s="1"/>
  <c r="AD18" i="8"/>
  <c r="AB18" i="8"/>
  <c r="Z18" i="8"/>
  <c r="V18" i="8"/>
  <c r="AF18" i="8" s="1"/>
  <c r="U18" i="8"/>
  <c r="AE18" i="8" s="1"/>
  <c r="S18" i="8"/>
  <c r="AC18" i="8" s="1"/>
  <c r="Q18" i="8"/>
  <c r="AA18" i="8" s="1"/>
  <c r="AD17" i="8"/>
  <c r="AB17" i="8"/>
  <c r="Z17" i="8"/>
  <c r="V17" i="8"/>
  <c r="W17" i="8" s="1"/>
  <c r="AG17" i="8" s="1"/>
  <c r="U17" i="8"/>
  <c r="AE17" i="8" s="1"/>
  <c r="S17" i="8"/>
  <c r="AC17" i="8" s="1"/>
  <c r="Q17" i="8"/>
  <c r="AA17" i="8" s="1"/>
  <c r="AD16" i="8"/>
  <c r="AB16" i="8"/>
  <c r="Z16" i="8"/>
  <c r="V16" i="8"/>
  <c r="AF16" i="8" s="1"/>
  <c r="U16" i="8"/>
  <c r="AE16" i="8" s="1"/>
  <c r="S16" i="8"/>
  <c r="AC16" i="8" s="1"/>
  <c r="Q16" i="8"/>
  <c r="AA16" i="8" s="1"/>
  <c r="AD15" i="8"/>
  <c r="AB15" i="8"/>
  <c r="Z15" i="8"/>
  <c r="V15" i="8"/>
  <c r="AF15" i="8" s="1"/>
  <c r="U15" i="8"/>
  <c r="AE15" i="8" s="1"/>
  <c r="S15" i="8"/>
  <c r="AC15" i="8" s="1"/>
  <c r="Q15" i="8"/>
  <c r="AA15" i="8" s="1"/>
  <c r="AD14" i="8"/>
  <c r="AB14" i="8"/>
  <c r="Z14" i="8"/>
  <c r="V14" i="8"/>
  <c r="AF14" i="8" s="1"/>
  <c r="U14" i="8"/>
  <c r="AE14" i="8" s="1"/>
  <c r="S14" i="8"/>
  <c r="AC14" i="8" s="1"/>
  <c r="Q14" i="8"/>
  <c r="AA14" i="8" s="1"/>
  <c r="AD13" i="8"/>
  <c r="AB13" i="8"/>
  <c r="Z13" i="8"/>
  <c r="V13" i="8"/>
  <c r="AF13" i="8" s="1"/>
  <c r="U13" i="8"/>
  <c r="AE13" i="8" s="1"/>
  <c r="S13" i="8"/>
  <c r="AC13" i="8" s="1"/>
  <c r="Q13" i="8"/>
  <c r="AG12" i="8"/>
  <c r="AD12" i="8"/>
  <c r="AB12" i="8"/>
  <c r="Z12" i="8"/>
  <c r="V12" i="8"/>
  <c r="AF12" i="8" s="1"/>
  <c r="U12" i="8"/>
  <c r="AE12" i="8" s="1"/>
  <c r="S12" i="8"/>
  <c r="AC12" i="8" s="1"/>
  <c r="Q12" i="8"/>
  <c r="AA12" i="8" s="1"/>
  <c r="AD11" i="8"/>
  <c r="AB11" i="8"/>
  <c r="Z11" i="8"/>
  <c r="V11" i="8"/>
  <c r="W11" i="8" s="1"/>
  <c r="AG11" i="8" s="1"/>
  <c r="U11" i="8"/>
  <c r="AE11" i="8" s="1"/>
  <c r="S11" i="8"/>
  <c r="AC11" i="8" s="1"/>
  <c r="Q11" i="8"/>
  <c r="AA11" i="8" s="1"/>
  <c r="AD10" i="8"/>
  <c r="AB10" i="8"/>
  <c r="Z10" i="8"/>
  <c r="AF10" i="8"/>
  <c r="U10" i="8"/>
  <c r="AE10" i="8" s="1"/>
  <c r="S10" i="8"/>
  <c r="AC10" i="8" s="1"/>
  <c r="Q10" i="8"/>
  <c r="AA10" i="8" s="1"/>
  <c r="AG9" i="8"/>
  <c r="AF9" i="8"/>
  <c r="AD9" i="8"/>
  <c r="AB9" i="8"/>
  <c r="Z9" i="8"/>
  <c r="U9" i="8"/>
  <c r="AE9" i="8" s="1"/>
  <c r="S9" i="8"/>
  <c r="AC9" i="8" s="1"/>
  <c r="Q9" i="8"/>
  <c r="AA9" i="8" s="1"/>
  <c r="AD8" i="8"/>
  <c r="AB8" i="8"/>
  <c r="Z8" i="8"/>
  <c r="V8" i="8"/>
  <c r="W8" i="8" s="1"/>
  <c r="AG8" i="8" s="1"/>
  <c r="U8" i="8"/>
  <c r="AE8" i="8" s="1"/>
  <c r="S8" i="8"/>
  <c r="AC8" i="8" s="1"/>
  <c r="Q8" i="8"/>
  <c r="AA8" i="8" s="1"/>
  <c r="AD7" i="8"/>
  <c r="AB7" i="8"/>
  <c r="Z7" i="8"/>
  <c r="V7" i="8"/>
  <c r="AF7" i="8" s="1"/>
  <c r="U7" i="8"/>
  <c r="AE7" i="8" s="1"/>
  <c r="S7" i="8"/>
  <c r="AC7" i="8" s="1"/>
  <c r="Q7" i="8"/>
  <c r="AA7" i="8" s="1"/>
  <c r="AD6" i="8"/>
  <c r="AB6" i="8"/>
  <c r="Z6" i="8"/>
  <c r="V6" i="8"/>
  <c r="AF6" i="8" s="1"/>
  <c r="U6" i="8"/>
  <c r="AE6" i="8" s="1"/>
  <c r="S6" i="8"/>
  <c r="AC6" i="8" s="1"/>
  <c r="Q6" i="8"/>
  <c r="AA6" i="8" s="1"/>
  <c r="AD5" i="8"/>
  <c r="AB5" i="8"/>
  <c r="Z5" i="8"/>
  <c r="V5" i="8"/>
  <c r="W5" i="8" s="1"/>
  <c r="AG5" i="8" s="1"/>
  <c r="U5" i="8"/>
  <c r="AE5" i="8" s="1"/>
  <c r="S5" i="8"/>
  <c r="AC5" i="8" s="1"/>
  <c r="Q5" i="8"/>
  <c r="AA5" i="8" s="1"/>
  <c r="AD4" i="8"/>
  <c r="AB4" i="8"/>
  <c r="AF4" i="8"/>
  <c r="U4" i="8"/>
  <c r="AE4" i="8" s="1"/>
  <c r="S4" i="8"/>
  <c r="AC4" i="8" s="1"/>
  <c r="Q4" i="8"/>
  <c r="AA4" i="8" s="1"/>
  <c r="AC185" i="8" l="1"/>
  <c r="AE185" i="8"/>
  <c r="Z185" i="8"/>
  <c r="AD185" i="8"/>
  <c r="AB185" i="8"/>
  <c r="AF23" i="8"/>
  <c r="W38" i="8"/>
  <c r="AG38" i="8" s="1"/>
  <c r="W129" i="8"/>
  <c r="AG129" i="8" s="1"/>
  <c r="W29" i="8"/>
  <c r="AG29" i="8" s="1"/>
  <c r="AF56" i="8"/>
  <c r="AF141" i="8"/>
  <c r="AF45" i="8"/>
  <c r="AF132" i="8"/>
  <c r="AF11" i="8"/>
  <c r="W147" i="8"/>
  <c r="AG147" i="8" s="1"/>
  <c r="W107" i="8"/>
  <c r="AG107" i="8" s="1"/>
  <c r="W59" i="8"/>
  <c r="AG59" i="8" s="1"/>
  <c r="W103" i="8"/>
  <c r="AG103" i="8" s="1"/>
  <c r="W105" i="8"/>
  <c r="AG105" i="8" s="1"/>
  <c r="AF112" i="8"/>
  <c r="AF151" i="8"/>
  <c r="W74" i="8"/>
  <c r="AG74" i="8" s="1"/>
  <c r="W91" i="8"/>
  <c r="AG91" i="8" s="1"/>
  <c r="W98" i="8"/>
  <c r="AG98" i="8" s="1"/>
  <c r="W33" i="8"/>
  <c r="AG33" i="8" s="1"/>
  <c r="W79" i="8"/>
  <c r="AG79" i="8" s="1"/>
  <c r="AF137" i="8"/>
  <c r="W162" i="8"/>
  <c r="AG162" i="8" s="1"/>
  <c r="AF171" i="8"/>
  <c r="AF130" i="8"/>
  <c r="AF8" i="8"/>
  <c r="W94" i="8"/>
  <c r="AG94" i="8" s="1"/>
  <c r="AF52" i="8"/>
  <c r="AF96" i="8"/>
  <c r="AF157" i="8"/>
  <c r="AF34" i="8"/>
  <c r="AF41" i="8"/>
  <c r="W37" i="8"/>
  <c r="AG37" i="8" s="1"/>
  <c r="AF77" i="8"/>
  <c r="W140" i="8"/>
  <c r="AG140" i="8" s="1"/>
  <c r="W51" i="8"/>
  <c r="AG51" i="8" s="1"/>
  <c r="W125" i="8"/>
  <c r="AG125" i="8" s="1"/>
  <c r="W172" i="8"/>
  <c r="AG172" i="8" s="1"/>
  <c r="AF167" i="8"/>
  <c r="AF71" i="8"/>
  <c r="AF145" i="8"/>
  <c r="W159" i="8"/>
  <c r="AG159" i="8" s="1"/>
  <c r="AF165" i="8"/>
  <c r="W143" i="8"/>
  <c r="AG143" i="8" s="1"/>
  <c r="AF24" i="8"/>
  <c r="AF136" i="8"/>
  <c r="AF177" i="8"/>
  <c r="AF85" i="8"/>
  <c r="W47" i="8"/>
  <c r="AG47" i="8" s="1"/>
  <c r="W70" i="8"/>
  <c r="AG70" i="8" s="1"/>
  <c r="AF73" i="8"/>
  <c r="AF92" i="8"/>
  <c r="AF108" i="8"/>
  <c r="W121" i="8"/>
  <c r="AG121" i="8" s="1"/>
  <c r="W21" i="8"/>
  <c r="AG21" i="8" s="1"/>
  <c r="W36" i="8"/>
  <c r="AG36" i="8" s="1"/>
  <c r="W31" i="8"/>
  <c r="AG31" i="8" s="1"/>
  <c r="W95" i="8"/>
  <c r="AG95" i="8" s="1"/>
  <c r="AF17" i="8"/>
  <c r="AF181" i="8"/>
  <c r="AF60" i="8"/>
  <c r="AF66" i="8"/>
  <c r="W82" i="8"/>
  <c r="AG82" i="8" s="1"/>
  <c r="W133" i="8"/>
  <c r="AG133" i="8" s="1"/>
  <c r="W16" i="8"/>
  <c r="AG16" i="8" s="1"/>
  <c r="AF49" i="8"/>
  <c r="AF127" i="8"/>
  <c r="W57" i="8"/>
  <c r="AG57" i="8" s="1"/>
  <c r="AF93" i="8"/>
  <c r="AF109" i="8"/>
  <c r="W184" i="8"/>
  <c r="AG184" i="8" s="1"/>
  <c r="AF27" i="8"/>
  <c r="W65" i="8"/>
  <c r="AG65" i="8" s="1"/>
  <c r="W88" i="8"/>
  <c r="AG88" i="8" s="1"/>
  <c r="AF89" i="8"/>
  <c r="W99" i="8"/>
  <c r="AG99" i="8" s="1"/>
  <c r="AF142" i="8"/>
  <c r="W101" i="8"/>
  <c r="AG101" i="8" s="1"/>
  <c r="AF115" i="8"/>
  <c r="AF138" i="8"/>
  <c r="AF53" i="8"/>
  <c r="AF5" i="8"/>
  <c r="AF42" i="8"/>
  <c r="AF46" i="8"/>
  <c r="AF78" i="8"/>
  <c r="W114" i="8"/>
  <c r="AG114" i="8" s="1"/>
  <c r="AF148" i="8"/>
  <c r="AF154" i="8"/>
  <c r="AF86" i="8"/>
  <c r="AF158" i="8"/>
  <c r="AF164" i="8"/>
  <c r="AF168" i="8"/>
  <c r="AF174" i="8"/>
  <c r="AF180" i="8"/>
  <c r="AF20" i="8"/>
  <c r="AF35" i="8"/>
  <c r="AF63" i="8"/>
  <c r="AF178" i="8"/>
  <c r="W39" i="8"/>
  <c r="AG39" i="8" s="1"/>
  <c r="AF48" i="8"/>
  <c r="AF106" i="8"/>
  <c r="AF124" i="8"/>
  <c r="AF26" i="8"/>
  <c r="AF67" i="8"/>
  <c r="AF118" i="8"/>
  <c r="AF122" i="8"/>
  <c r="W149" i="8"/>
  <c r="AG149" i="8" s="1"/>
  <c r="AF58" i="8"/>
  <c r="W58" i="8"/>
  <c r="AG58" i="8" s="1"/>
  <c r="AF156" i="8"/>
  <c r="W156" i="8"/>
  <c r="AG156" i="8" s="1"/>
  <c r="W18" i="8"/>
  <c r="AG18" i="8" s="1"/>
  <c r="W43" i="8"/>
  <c r="AG43" i="8" s="1"/>
  <c r="W68" i="8"/>
  <c r="AG68" i="8" s="1"/>
  <c r="W166" i="8"/>
  <c r="AG166" i="8" s="1"/>
  <c r="W30" i="8"/>
  <c r="AG30" i="8" s="1"/>
  <c r="W100" i="8"/>
  <c r="AG100" i="8" s="1"/>
  <c r="W126" i="8"/>
  <c r="AG126" i="8" s="1"/>
  <c r="W144" i="8"/>
  <c r="AG144" i="8" s="1"/>
  <c r="W161" i="8"/>
  <c r="AG161" i="8" s="1"/>
  <c r="W15" i="8"/>
  <c r="AG15" i="8" s="1"/>
  <c r="W55" i="8"/>
  <c r="AG55" i="8" s="1"/>
  <c r="W111" i="8"/>
  <c r="AG111" i="8" s="1"/>
  <c r="W116" i="8"/>
  <c r="AG116" i="8" s="1"/>
  <c r="W134" i="8"/>
  <c r="AG134" i="8" s="1"/>
  <c r="W173" i="8"/>
  <c r="AG173" i="8" s="1"/>
  <c r="W25" i="8"/>
  <c r="AG25" i="8" s="1"/>
  <c r="AF28" i="8"/>
  <c r="AF40" i="8"/>
  <c r="W40" i="8"/>
  <c r="AG40" i="8" s="1"/>
  <c r="W123" i="8"/>
  <c r="AG123" i="8" s="1"/>
  <c r="W50" i="8"/>
  <c r="AG50" i="8" s="1"/>
  <c r="W131" i="8"/>
  <c r="AG131" i="8" s="1"/>
  <c r="W153" i="8"/>
  <c r="AG153" i="8" s="1"/>
  <c r="W7" i="8"/>
  <c r="AG7" i="8" s="1"/>
  <c r="W62" i="8"/>
  <c r="AG62" i="8" s="1"/>
  <c r="W75" i="8"/>
  <c r="AG75" i="8" s="1"/>
  <c r="W80" i="8"/>
  <c r="AG80" i="8" s="1"/>
  <c r="W97" i="8"/>
  <c r="AG97" i="8" s="1"/>
  <c r="W120" i="8"/>
  <c r="AG120" i="8" s="1"/>
  <c r="W146" i="8"/>
  <c r="AG146" i="8" s="1"/>
  <c r="W163" i="8"/>
  <c r="AG163" i="8" s="1"/>
  <c r="W22" i="8"/>
  <c r="AG22" i="8" s="1"/>
  <c r="AF83" i="8"/>
  <c r="W170" i="8"/>
  <c r="AG170" i="8" s="1"/>
  <c r="W72" i="8"/>
  <c r="AG72" i="8" s="1"/>
  <c r="W4" i="8"/>
  <c r="AG4" i="8" s="1"/>
  <c r="W32" i="8"/>
  <c r="AG32" i="8" s="1"/>
  <c r="W87" i="8"/>
  <c r="AG87" i="8" s="1"/>
  <c r="AF90" i="8"/>
  <c r="W113" i="8"/>
  <c r="AG113" i="8" s="1"/>
  <c r="AF139" i="8"/>
  <c r="W150" i="8"/>
  <c r="AG150" i="8" s="1"/>
  <c r="W182" i="8"/>
  <c r="AG182" i="8" s="1"/>
  <c r="W19" i="8"/>
  <c r="AG19" i="8" s="1"/>
  <c r="W44" i="8"/>
  <c r="AG44" i="8" s="1"/>
  <c r="W69" i="8"/>
  <c r="AG69" i="8" s="1"/>
  <c r="W128" i="8"/>
  <c r="AG128" i="8" s="1"/>
  <c r="W160" i="8"/>
  <c r="AG160" i="8" s="1"/>
  <c r="AF84" i="8"/>
  <c r="W84" i="8"/>
  <c r="AG84" i="8" s="1"/>
  <c r="AF135" i="8"/>
  <c r="W135" i="8"/>
  <c r="AG135" i="8" s="1"/>
  <c r="W54" i="8"/>
  <c r="AG54" i="8" s="1"/>
  <c r="W110" i="8"/>
  <c r="AG110" i="8" s="1"/>
  <c r="W117" i="8"/>
  <c r="AG117" i="8" s="1"/>
  <c r="AF175" i="8"/>
  <c r="W14" i="8"/>
  <c r="AG14" i="8" s="1"/>
  <c r="AF102" i="8"/>
  <c r="W102" i="8"/>
  <c r="AG102" i="8" s="1"/>
  <c r="W152" i="8"/>
  <c r="AG152" i="8" s="1"/>
  <c r="W179" i="8"/>
  <c r="AG179" i="8" s="1"/>
  <c r="AF76" i="8"/>
  <c r="W76" i="8"/>
  <c r="AG76" i="8" s="1"/>
  <c r="AF155" i="8"/>
  <c r="W169" i="8"/>
  <c r="AG169" i="8" s="1"/>
  <c r="W6" i="8"/>
  <c r="AG6" i="8" s="1"/>
  <c r="W10" i="8"/>
  <c r="AG10" i="8" s="1"/>
  <c r="W61" i="8"/>
  <c r="AG61" i="8" s="1"/>
  <c r="AF64" i="8"/>
  <c r="AA104" i="8"/>
  <c r="W104" i="8"/>
  <c r="AG104" i="8" s="1"/>
  <c r="W119" i="8"/>
  <c r="AG119" i="8" s="1"/>
  <c r="AA13" i="8"/>
  <c r="AA185" i="8" s="1"/>
  <c r="W13" i="8"/>
  <c r="AG13" i="8" s="1"/>
  <c r="W81" i="8"/>
  <c r="AG81" i="8" s="1"/>
  <c r="AF176" i="8"/>
  <c r="W176" i="8"/>
  <c r="AG176" i="8" s="1"/>
  <c r="AF183" i="8"/>
  <c r="W183" i="8"/>
  <c r="AG183" i="8" s="1"/>
  <c r="AF185" i="8" l="1"/>
  <c r="AG185" i="8"/>
</calcChain>
</file>

<file path=xl/sharedStrings.xml><?xml version="1.0" encoding="utf-8"?>
<sst xmlns="http://schemas.openxmlformats.org/spreadsheetml/2006/main" count="2403" uniqueCount="676">
  <si>
    <t>480</t>
  </si>
  <si>
    <t>702</t>
  </si>
  <si>
    <t>0102</t>
  </si>
  <si>
    <t>00</t>
  </si>
  <si>
    <t>0104</t>
  </si>
  <si>
    <t>0105</t>
  </si>
  <si>
    <t>704</t>
  </si>
  <si>
    <t>0100</t>
  </si>
  <si>
    <t>809</t>
  </si>
  <si>
    <t>802</t>
  </si>
  <si>
    <t>0200</t>
  </si>
  <si>
    <t>109</t>
  </si>
  <si>
    <t>401</t>
  </si>
  <si>
    <t>402</t>
  </si>
  <si>
    <t>610</t>
  </si>
  <si>
    <t>106</t>
  </si>
  <si>
    <t>0101</t>
  </si>
  <si>
    <t>03</t>
  </si>
  <si>
    <t>ATUN EN AGUA. HOSPITAL Y GUARDERIA. Peso por ración de 60 + 5 g. Latas de 1880 g peso neto en trozo de lomo o lonja, de aluminio o de hojalata con revestimiento de estaño y capas de barniz, transportar en taras de plástico, que cada lata muestre etiq</t>
  </si>
  <si>
    <t>403</t>
  </si>
  <si>
    <t>601</t>
  </si>
  <si>
    <t>01</t>
  </si>
  <si>
    <t>0201</t>
  </si>
  <si>
    <t>406</t>
  </si>
  <si>
    <t>0300</t>
  </si>
  <si>
    <t>806</t>
  </si>
  <si>
    <t>0103</t>
  </si>
  <si>
    <t>0400</t>
  </si>
  <si>
    <t>302</t>
  </si>
  <si>
    <t>1001</t>
  </si>
  <si>
    <t>1203</t>
  </si>
  <si>
    <t>1601</t>
  </si>
  <si>
    <t>1501</t>
  </si>
  <si>
    <t>1502</t>
  </si>
  <si>
    <t>1503</t>
  </si>
  <si>
    <t>CHILE SECO CASCABEL HOSPITAL A granel, por peso en kilogramo, en bolsas de plástico biodegradable cerradas, o cajas de plástico de tamaño adecuado al peso.Nota: en caso de que la bolsa no sea biodegradable el costo lo asumirá el proveedorSon frutos d</t>
  </si>
  <si>
    <t>1504</t>
  </si>
  <si>
    <t>1505</t>
  </si>
  <si>
    <t>CHILE SECO GUAJILLO HOSPITAL A granel, por peso en kilogramo, en bolsas de plástico biodegradable cerradas, o cajas de plástico de tamaño adecuado al peso.Nota: en caso de que la bolsa no sea biodegradable el costo lo asumirá el proveedorSon frutos d</t>
  </si>
  <si>
    <t>1506</t>
  </si>
  <si>
    <t xml:space="preserve">CHILE SECO MORITA HOSPITAL A granel, por peso en kilogramo, en bolsas de plástico biodegradable cerradas, o cajas de plástico de tamaño adecuado al peso.Nota: en caso de que la bolsa no sea biodegradable el costo lo asumirá el proveedorSon frutos de </t>
  </si>
  <si>
    <t>1507</t>
  </si>
  <si>
    <t>1508</t>
  </si>
  <si>
    <t>1603</t>
  </si>
  <si>
    <t>02</t>
  </si>
  <si>
    <t>604</t>
  </si>
  <si>
    <t>301</t>
  </si>
  <si>
    <t>0503</t>
  </si>
  <si>
    <t>0500</t>
  </si>
  <si>
    <t>606</t>
  </si>
  <si>
    <t>0600</t>
  </si>
  <si>
    <t>607</t>
  </si>
  <si>
    <t>608</t>
  </si>
  <si>
    <t>501</t>
  </si>
  <si>
    <t>0700</t>
  </si>
  <si>
    <t>0800</t>
  </si>
  <si>
    <t>0901</t>
  </si>
  <si>
    <t>804</t>
  </si>
  <si>
    <t>503</t>
  </si>
  <si>
    <t>405</t>
  </si>
  <si>
    <t>0301</t>
  </si>
  <si>
    <t>1100</t>
  </si>
  <si>
    <t>2403</t>
  </si>
  <si>
    <t>201</t>
  </si>
  <si>
    <t>0303</t>
  </si>
  <si>
    <t>504</t>
  </si>
  <si>
    <t>701</t>
  </si>
  <si>
    <t>611</t>
  </si>
  <si>
    <t>2601</t>
  </si>
  <si>
    <t>2602</t>
  </si>
  <si>
    <t>2600</t>
  </si>
  <si>
    <t>0902</t>
  </si>
  <si>
    <t>0501</t>
  </si>
  <si>
    <t>609</t>
  </si>
  <si>
    <t>807</t>
  </si>
  <si>
    <t>803</t>
  </si>
  <si>
    <t>808</t>
  </si>
  <si>
    <t>505</t>
  </si>
  <si>
    <t>0601</t>
  </si>
  <si>
    <t>TE DE NARANJO NATURAL EN PRESENTACION INDIVIDUAL HOSPITAL Y GUARDERIA Envasada en bolsitas o sobres de presentación individual de 1 a 1.5 g en caja de cartón de 25 bolsitas. Hojas del árbol del naranjo perteneciente a la familia de la Rutáceas, son a</t>
  </si>
  <si>
    <t>0701</t>
  </si>
  <si>
    <t>TE DE YERBABUENA NATURAL EN PRESENTACION INDIVIDUAL HOSPITAL Y GUARDERIA Envasada en bolsitas o sobres de presentación individual de papel filtro, de 1 a 1.5 g en caja de cartón de 25 bolsitas.  Planta herbácea, de 30 cm de altura, aromática, pertene</t>
  </si>
  <si>
    <t>3004</t>
  </si>
  <si>
    <t>0202</t>
  </si>
  <si>
    <t>103</t>
  </si>
  <si>
    <t>05</t>
  </si>
  <si>
    <t>202</t>
  </si>
  <si>
    <t>1000</t>
  </si>
  <si>
    <t>1701</t>
  </si>
  <si>
    <t>1801</t>
  </si>
  <si>
    <t>1803</t>
  </si>
  <si>
    <t>1901</t>
  </si>
  <si>
    <t>2000</t>
  </si>
  <si>
    <t>2102</t>
  </si>
  <si>
    <t>2202</t>
  </si>
  <si>
    <t>2300</t>
  </si>
  <si>
    <t>2400</t>
  </si>
  <si>
    <t>2501</t>
  </si>
  <si>
    <t>2502</t>
  </si>
  <si>
    <t>2505</t>
  </si>
  <si>
    <t>2700</t>
  </si>
  <si>
    <t>2801</t>
  </si>
  <si>
    <t>2900</t>
  </si>
  <si>
    <t>3003</t>
  </si>
  <si>
    <t>1302</t>
  </si>
  <si>
    <t>3001</t>
  </si>
  <si>
    <t xml:space="preserve">AGUACATE HASS HOSPITAL Y GUARDERIA A granel por peso en kilogramos, en bolsas de plástico biodegradable perforada, cuando sean cantidades menores de 5 Kg. Caja de plástico con separadores de cartón corrugado (cuando sean cantidades mayores de 5 Kg.) </t>
  </si>
  <si>
    <t>0602</t>
  </si>
  <si>
    <t>0903</t>
  </si>
  <si>
    <t>1102</t>
  </si>
  <si>
    <t>1201</t>
  </si>
  <si>
    <t>1300</t>
  </si>
  <si>
    <t>1404</t>
  </si>
  <si>
    <t>1406</t>
  </si>
  <si>
    <t>1407</t>
  </si>
  <si>
    <t>1409</t>
  </si>
  <si>
    <t>1410</t>
  </si>
  <si>
    <t>805</t>
  </si>
  <si>
    <t>1900</t>
  </si>
  <si>
    <t>2001</t>
  </si>
  <si>
    <t>2101</t>
  </si>
  <si>
    <t>303</t>
  </si>
  <si>
    <t>2401</t>
  </si>
  <si>
    <t>2402</t>
  </si>
  <si>
    <t>2800</t>
  </si>
  <si>
    <t>2902</t>
  </si>
  <si>
    <t>2903</t>
  </si>
  <si>
    <t>3000</t>
  </si>
  <si>
    <t>3100</t>
  </si>
  <si>
    <t>3200</t>
  </si>
  <si>
    <t>3600</t>
  </si>
  <si>
    <t>3700</t>
  </si>
  <si>
    <t>3900</t>
  </si>
  <si>
    <t>602</t>
  </si>
  <si>
    <t>0107</t>
  </si>
  <si>
    <t>ENV</t>
  </si>
  <si>
    <t>1000 ml</t>
  </si>
  <si>
    <t xml:space="preserve">100 g </t>
  </si>
  <si>
    <t xml:space="preserve">500 g + 20 g </t>
  </si>
  <si>
    <t>500 g</t>
  </si>
  <si>
    <t>a granel</t>
  </si>
  <si>
    <t>KG</t>
  </si>
  <si>
    <t>1000 g</t>
  </si>
  <si>
    <t>LATA</t>
  </si>
  <si>
    <t>1880 g</t>
  </si>
  <si>
    <t>CAJA</t>
  </si>
  <si>
    <t>FCO</t>
  </si>
  <si>
    <t xml:space="preserve"> 200 g + 25 </t>
  </si>
  <si>
    <t xml:space="preserve">LATA </t>
  </si>
  <si>
    <t>270 g</t>
  </si>
  <si>
    <t>380 g</t>
  </si>
  <si>
    <t>420 g + 20 g</t>
  </si>
  <si>
    <t>800 g</t>
  </si>
  <si>
    <t>PZA</t>
  </si>
  <si>
    <t>30 g</t>
  </si>
  <si>
    <t>1000 g + 50 g</t>
  </si>
  <si>
    <t>150 g</t>
  </si>
  <si>
    <t>500 g + 50 g</t>
  </si>
  <si>
    <t>250 g</t>
  </si>
  <si>
    <t>750 g</t>
  </si>
  <si>
    <t>660 g + 20</t>
  </si>
  <si>
    <t>225 g</t>
  </si>
  <si>
    <t>470 + 30 g</t>
  </si>
  <si>
    <t>500 ml</t>
  </si>
  <si>
    <t>450 g</t>
  </si>
  <si>
    <t>1000 g + 5 g</t>
  </si>
  <si>
    <t>BOLSA</t>
  </si>
  <si>
    <t>60 g + 5 g</t>
  </si>
  <si>
    <t>25 g + 5</t>
  </si>
  <si>
    <t>454g</t>
  </si>
  <si>
    <t>250 ml</t>
  </si>
  <si>
    <t>1000 g + 30 g</t>
  </si>
  <si>
    <t>145 ml</t>
  </si>
  <si>
    <t>25 bolsitas</t>
  </si>
  <si>
    <t>A granel</t>
  </si>
  <si>
    <t>900 ml</t>
  </si>
  <si>
    <t>703</t>
  </si>
  <si>
    <t>720 g</t>
  </si>
  <si>
    <t>MORELOS</t>
  </si>
  <si>
    <t>295 g</t>
  </si>
  <si>
    <t>235 - 1000 g</t>
  </si>
  <si>
    <t>430 g</t>
  </si>
  <si>
    <t>850 g</t>
  </si>
  <si>
    <t>200 g + 20</t>
  </si>
  <si>
    <t>50 g</t>
  </si>
  <si>
    <t xml:space="preserve">500 g </t>
  </si>
  <si>
    <t>330 ml</t>
  </si>
  <si>
    <t xml:space="preserve"> 200 ml</t>
  </si>
  <si>
    <t>1400 g</t>
  </si>
  <si>
    <t>350 g</t>
  </si>
  <si>
    <t xml:space="preserve">IMPORTE MAXIMO </t>
  </si>
  <si>
    <t>JAMON DE PAVO HOSPITAL Y GUARDERIA En rebanadas de 30 g, c/u +3, en paquetes de 1000 g, empacadas al alto vacío en película de polietileno, con materiales inocuos y resistentes, que no reaccionen con el producto o alteren sus características físicas, químicas y sensoriales, preferentemente materiales biodegradables y muestre etiqueta con: información nutrimental. Grasa 2.5 - 6%</t>
  </si>
  <si>
    <t>MORTADELA REBANADA HOSPITAL Y GUARDERIA reb de 30 g + 3 g en paquetes de 1 kgLa mortadela es un fiambre elaborado con carne magra de cerdo, pavo o res, tejido graso finamente picado y otros subproductos animales comestibles, agua, sal y condimentos; grasa 25%</t>
  </si>
  <si>
    <t>SALCHICHA DE CERDO VIENA HOSPITAL Y GUARDERIA En piezas de 40 g + 3 g , en paquetes de 1 kg empacadas al alto vacío en película de polietileno, con materiales inocuos y resistentes, que no reaccionen con el producto o alteren sus características físicas, químicas y sensoriales, preferentemente materiales biodegradables y muestre etiqueta con: información nutrimental. Grasa 18-36%.</t>
  </si>
  <si>
    <t>YOGURT NATURAL DE LECHE DESCREMADA HOSPITAL No individual, se debe vigilar su consumo debido a que tiene un costo mayor que el de la leche (3 veces más). De 1 litro en envase de plástico grado alimenticio resistente e inocuo que garantice la estabilidad del producto, con tapa de sello hermético que evite su contaminación y no altere calidad ni características sensoriales. Proteínas 3.6%, grasas 0-1%.</t>
  </si>
  <si>
    <t xml:space="preserve">LECHE ENTERA ULTRAPASTEURIZADA HOSPITAL Y GUARDERIA Tetrabrik con capacidad de 1000 ml. Envasada y etiquetada conforme a los criterios de calidad. Es la leche entera de vaca sometida a un tratamiento térmico en una relación de tiempo y temperatura de de acuerdo a la regulación vigente, envasado asépticamente. Proteína 30gramos por litro, grasa burtírica 30 gramos por litro. </t>
  </si>
  <si>
    <t>LECHE SEMIDESCREMADA ULTRAPASTEURIZADA HOSPITAL Exclusivamente para uso hospitalario, bajo prescripción dietética. Tetrabrik con capacidad de 1000 ml. Envasada y etiquetada conforme a los criterios de calidad. Es el producto elaborado con leche pasteurizada sometida a un proceso de estandarización, a fin de ajustar el contenido de grasa butírica entre 16 g/L y 18 g/L, y sometida a un tratamiento térmico.  Proteínas 30g/L.</t>
  </si>
  <si>
    <t>MEDIA CREMA DE LECHE DE VACA HOSPITAL Y GUARDERIA Lata o tetrabrik de 225 g. Etiquetada conforme a los criterios de calidad.  Es la parte de la leche en la que se ha reunido la mayor cantidad de grasa (butírica) de la misma, a través de centrifugación o separación después del reposo. Grasa de leche 20%.</t>
  </si>
  <si>
    <t xml:space="preserve">CAÑA HOSPITAL Y GUARDERIA A granel, peso en kilogramos en bandeja o tara de plástico reutilizable.*Es un fruto que se cultiva en zonas tropicales, se produce generalmente por trozos vivaces que se toman de la parte superior del tallo antes de que florezcan. ebe estar bien desarrollada, sana, fresca, limpia, de consistencia firme y ausente de humedad exterior anormal. </t>
  </si>
  <si>
    <t>MELON CHINO HOSPITAL Y GUARDERIA A granel, peso en kilogramos en bandeja o tara de plástico reutilizable. *Es un fruto sincárpico y carnoso de tipo pepónide. De forma esferoidal ligeramente alargada, de diámetro mayor de 13 a 17 cm, aromático, dulce; debe estar bien desarrollado, sano, fresco, limpio, de consistencia firme y ausente de humedad exterior anormal, de magulladuras o raspaduras extensas, de heridas o de plagas, sin moho.</t>
  </si>
  <si>
    <t>PAPAYA ROJA. HOSPITAL Y GUARDERIA A granel, peso en kilogramos, cada pieza envuelta en almohadilla acolchonada o esponja plástica dentro de bandeja o tara de plástico reutilizable. *Fruto tropical de la familia de las caricáceas, es de forma ovoide, de acuerdo a la variedad el fruto puede pesar de 0.5 a 4 kg. Debe estar bien desarrollada, sana, fresca, limpia, de consistencia firme y ausente de humedad exterior anormal, de magulladuras o raspaduras extensas, de heridas o de plagas.</t>
  </si>
  <si>
    <t>PIÑA HOSPITAL Y GUARDERIA A granel, peso en kilogramos en bandeja o tara de plástico reutilizable. *Fruto tropical de la familia de las bromeliáceas, la piña madura que pesa de 1.5 a 3 kg tiene una forma característica cilíndrica, alargada que termina en su extremo superior. Debe estar bien desarrollada, sana, fresca, limpia, de consistencia firme y ausente de humedad exterior anormal, de magulladuras, de heridas o de plagas, exentas de daños causados por temperaturas bajas, con grado de madurez satisfactorio.</t>
  </si>
  <si>
    <t>PLATANO MACHO HOSPITAL Y GUARDERIA A granel, peso en kilogramos en caja de cartón corrugado de doble pared. *Los frutos son bayas de forma alargada y característica, la fruta madura mide de 10 a 30 cm según la variedad, su cáscara de color amarillo que gradualmente adquiere motas café obscuro o negras que denotan distintos grados de madurez.</t>
  </si>
  <si>
    <t>SANDIA HOSPITAL Y GUARDERIA A granel, peso en kilogramos en bandeja o tara de plástico reutilizable. *Es el fruto sincárpico y carnoso, pepónide, esferoidal, alargado, su cáscara es verde obscuro, brillante, lisa y resistente aunque no demasiado dura.</t>
  </si>
  <si>
    <t>TEJOCOTE HOSPITAL Y GUARDERIA A granel, peso en kilogramos en rejilla o caja uvera de plástico reutilizable. *Es un fruto silvestre que se encuentra en los bosques de coníferas y encinos. Su fruto es una especie de baya llamada Pomo cuya parte comestble está constituida por el cáliz.</t>
  </si>
  <si>
    <t>UVA SIN SEMILLA HOSPITAL Y GUARDERIA Para guardería sólo se autoriza la variedad sin semilla.A granel, peso en kilogramos en bolsa de polietileno atóxica de baja densidad transparente con micro perforaciones y en rejilla o caja uvera de plástico reutilizable.</t>
  </si>
  <si>
    <t>LIMON SIN SEMILLA (PERSA) HOSPITAL Y GUARDERIA A granel, peso en kilogramos en bandeja o tara de plástico reutilizable. *Fruto de consistencia firme, redondo, de 3 a 4.5 cm de diámetro; cáscara habitualmente delgada, brillante de color verde, olor fresco.</t>
  </si>
  <si>
    <t>UVA CARDENAL HOSPITAL Y GUARDERIA Para guardería sólo se autoriza la variedad sin semilla.A granel, peso en kilogramos en bolsa de polietileno atóxica de baja densidad transparente con micro perforaciones y en rejilla o caja uvera de plástico reutilizable.</t>
  </si>
  <si>
    <t>ACELGA HOSPITAL Y GUARDERIA Extremar su higienización.A granel o en manojos, por peso en kilogramos, envasadas en bolsas de plástico biodegradable, con perforaciones para ventilar el producto, sin que la hoja sobresalga del nivel superior, envase secundario caja de plástico de tamaño adecuado al peso (sin rebasar los 15 Kg).</t>
  </si>
  <si>
    <t>AJO EN BULBO HOSPITAL Y GUARDERIA A granel, por kilogramo, en bolsa de plástico perforada. Bulbo de la planta herbácea perteneciente a la familia de las liliáceas, posee un sabor típico acre, su aroma es penetrante, sulfúreo, debido principalmente a su contenido de aceite esencial.</t>
  </si>
  <si>
    <t>CALABACITA ITALIANA HOSPITAL Y GUARDERIA A granel, por peso en kilogramos, en cajas de plástico o madera de tamaño adecuado.Es el fruto tierno (no maduro) de la planta de su mismo nombre; el fruto es una pepónide. Su epicarpio (cáscara) es blando y comible. Su diámetro polar (longitud) que va de 7 a 12 cm.</t>
  </si>
  <si>
    <t>CHICHARO LIMPIO HOSPITAL Y GUARDERIA A granel, por peso en kilogramos, en bolsas de plástico y cajas de plástico o madera de tamaño adecuado; como chícharo limpio en charola de unicel, por peso en kilogramo, envuelta con papel ega pack. Es una planta herbácea, el fruto es una vaina verde en la que se encuentran alojadas de 6 a 12 semillas globosas, verdes.</t>
  </si>
  <si>
    <t>AMARANTO EN SEMILLA HOSPITAL Y GUARDERIAA granel por peso en kilogramos, en bolsas de polietileno.Las semillas deben estar limpias, sanas, exentas de plagas y libres de humedad exterior anormal. Se debe comprobar el peso neto a la entrega del producto.</t>
  </si>
  <si>
    <t>ARROZ PULIDO HOSPITAL Y GUARDERIA En bolsas de polietileno o en cajas de cartón de 1000 g. El arroz pulido es el grano maduro, sano y limpio de Oryza sativa sometido a procesos industriales de descascarillado y pulido para la eliminación de la cáscara.</t>
  </si>
  <si>
    <t>AVENA LAMINADA (HOJUELAS) HOSPITAL Y GUARDERIA En bolsa de polietileno o bote de cartón de 1000 g. De acuerdo a la Ley General de Salud y la Norma Oficial Mexicana: Comprobar la integridad y limpieza de los empaques. No debe tener sabor y olor diferente.</t>
  </si>
  <si>
    <t>CEREAL DE ARROZ PRECOCIDO HOSPITAL Y GUARDERIA Lata metálica de 270 g. Producto elaborado a partir de harina de arroz, resultante de la molienda del grano de arroz, maduro, limpio, entero o quebrado, y seco de la especie Oriza sativa, L; y que además está libre de sus envolturas celulósicas de la familia de las gramíneas.</t>
  </si>
  <si>
    <t xml:space="preserve">CEREAL DE AVENA PRECOCIDO HOSPITAL Y GUARDERIA Lata 270 g . Se indican de acuerdo a la NOM-131-SSA1-2012 Productos y servicios. Fórmulas para lactantes, de continuación y para necesidades especiales de nutrición. </t>
  </si>
  <si>
    <t>GALLETA DULCE SURTIDA HOSPITAL Y GUARDERIAEn bolsa de polietileno o poliestireno dentro de caja de cartón de 430 g Producto elaborado fundamentalmente por una mezcla de harina Grado II, grasas, aceites comestibles, agua, adicionada de azúcares y otros ingredientes opcionales y aditivos alimentarios.</t>
  </si>
  <si>
    <t>GALLETA PARA SOPA HOSPITAL Y GUARDERIA Bolsas de celofán de 150 g de figuras variadas. Producto elaborado fundamentalmente por una mezcla de harina Grado II, levadura para panificación, grasas y aceites comestibles, agua, otros ingredientes opcionales y aditivos alimentarios permitidos por la SSA.</t>
  </si>
  <si>
    <t>GALLETA SALADA EN ENVASE INDIVIDUAL HOSPITAL Y GUARDERIAEn bolsa de polietileno o poliestireno dentro de caja de cartón de 500 g + 50 g . Envase personal en paquetes de 12 g + 3 g .Producto elaborado fundamentalmente por una mezcla de harina Grado II, levadura para panificación, grasas y aceites comestibles, agua, otros ingredientes opcionales y aditivos alimentarios permitidos por la SSA.</t>
  </si>
  <si>
    <t>HARINA DE ARROZ HOSPITAL Y GUARDERIA Envase de cartón, con bolsa interior de papel o celofán u otro material compuesto de 250 g. Producto obtenido mediante la molienda y tamizado de granos de arroz (Oriza sativa L.), sanos, enteros o quebrados, sin cáscara libre de impurezas y materia extraña que alteren su calidad.</t>
  </si>
  <si>
    <t>HARINA DE MAIZ NIXTAMALIZADA HOSPITAL Y GUARDERIA En bolsas de papel laminado, con polietileno o de polietileno, de 1000 g. Es el producto que se obtiene de la molienda de granos del maíz Zea mays, sanos, limpios, previamente nixtamalizados y deshidratados, no se permite el empleo de aditivos.</t>
  </si>
  <si>
    <t>HARINA DE MAIZ SIN NIXTAMALIZAR (SIN SABOR) HOSPITAL Y GUARDERIA Caja de carton o sobre de papel laminado recubierto de polietileno de 750 g. Producto que se obtiene de la molienda de granos sanos del maíz Zea mays sin nixtamalizar, que se utiliza para preparación de atoles.</t>
  </si>
  <si>
    <t>HARINA DE MAIZ SIN NIXTAMALIZAR DE SABORES HOSPITAL Y GUARDERIA Caja de carton o sobre de papel laminado recubierto de polietileno de 50 g.Producto que se obtiene de la molienda de granos sanos del maíz Zea mays sin nixtamalizar, que se utiliza para preparación de atoles.</t>
  </si>
  <si>
    <t>HARINA DE TRIGO HOSPITAL Y GUARDERIAEn bolsa de papel o polietileno de 1000 g. Producto que se obtiene de la molienda y tamizado de granos de trigo (Triticum vulgare y Triticum durum), sanos, limpios, enteros o quebrados, con eliminación de gran parte del salvado y germen, libre de pericarpio, de tegumentos y de la capa aleurónica del germen.</t>
  </si>
  <si>
    <t>MAIZ CACAHUAZINTLE PRECOCIDO HOSPITAL Y GUARDERIA Precocido nixtamalizado, en bolsas de polietileno debidamente selladas, con capacidad de 1000 g  Planta de las gramíneas, de color blanco, amarillo o rojizo, liso y sin surcos; es un grano de mayor tamaño que el de otras variedades de maíz. Su forma es más trapezoidal y mide de 5 a 15 mm de ancho por 8 a 17 mm de largo.</t>
  </si>
  <si>
    <t>PASTAS PARA SOPA CORTAS HOSPITAL Y GUARDERIA Bolsa de celofán de 200 g + 20 (forma de CODITO).Es el producto elaborado por la desecación de las figuras obtenidas del amasado de semolina y / o harina de trigo Tipo I, agua potable, ingredientes opcionales y aditivos permitidos por la SSA.</t>
  </si>
  <si>
    <t>PASTAS PARA SOPA CORTAS HOSPITAL Y GUARDERIA Bolsa de celofán de 200 g + 20 (forma de FIDEO).Es el producto elaborado por la desecación de las figuras obtenidas del amasado de semolina y / o harina de trigo Tipo I, agua potable, ingredientes opcionales y aditivos permitidos por la SSA.</t>
  </si>
  <si>
    <t>PASTAS PARA SOPA CORTAS HOSPITAL Y GUARDERIA Bolsa de celofán de 200 g + 20 (forma de LETRA).Es el producto elaborado por la desecación de las figuras obtenidas del amasado de semolina y / o harina de trigo Tipo I, agua potable, ingredientes opcionales y aditivos permitidos por la SSA.</t>
  </si>
  <si>
    <t>PASTAS PARA SOPA LARGAS HOSPITAL Y GUARDERIA Bolsa de celofán de 200 g + 20 (forma de ESPAGUETI).Es el producto elaborado por la desecación de las figuras obtenidas del amasado de semolina y / o harina de trigo Tipo I, agua potable, ingredientes opcionales y aditivos permitidos por la SSA.</t>
  </si>
  <si>
    <t xml:space="preserve">DULCE DE AMARANTO HOSPITAL Individual, por pieza de 30 g envuelto en papel celofán o bolsa de plástico. Las semillas deben estar limpias, sanas, exentas de plagas y libres de humedad exterior. Su textura debe ser firme pero no dura. </t>
  </si>
  <si>
    <t>FRIJOL NEGRO HOSPITAL Y GUARDERIA A granel o empacado en bolsa de polietileno de 1000 g. Es la semilla seca entera perteneciente a la familia de las leguminosas, género Phaseolus, especie vulgaris, que se encuentra dentro de la vaina y se extrae hasta que está madura y seca.</t>
  </si>
  <si>
    <t>FRIJOL PERUANO HOSPITAL Y GUARDERIA A granel o empacado en bolsa de polietileno de 1000 g.  Es la semilla seca entera perteneciente a la familia de las leguminosas, género Phaseolus, especie vulgaris, que se encuentra dentro de las vainas y se extrae hasta que está madura y seca.</t>
  </si>
  <si>
    <t>HABA SECA HOSPITAL Y GUARDERIA Bolsa de polietileno de 1000 g. Leguminosa de la familia de las papilonadas, el pericarpio es liso brillante, grueso, de color amarillo ligeramente pardo, de forma arriñonada aplanada sus cotiledones son de color amarillo.</t>
  </si>
  <si>
    <t>LENTEJA HOSPITAL Y GUARDERIA Bolsa de polietileno de 1000 g. Leguminosa papilonada, semilla redonda aplanada de diámetro de hasta de 0.7 cm, su pericarpio es de color verdoso a café claro, con cotiledones de color amarillo, puede tener diferentes tamaños.</t>
  </si>
  <si>
    <t>AZÚCAR MORENO HOSPITAL Y GUARDERIA Bajo estricta prescripción nutriológica A granel por peso en kilogramos, en bolsas de polietileno o papel kraf de 1000 g . Es el producto obtenido de la caña de azúcar o de remolacha azucarera, extraída por compresión y sometida a operaciones de cristalización, sin proceso de refinación. No debe contener microorganismos patógenos, toxinas microbianas e inhibidores microbianos, contaminantes químicos, ni fragmentos de insectos, pelo, excretas de roedores ni
cualquier otra materia extraña de origen animal o vegetal.</t>
  </si>
  <si>
    <t>COCADA HOSPITAL Bajo estricta prescripción nutriológica Por pieza o ración, de 30 g envueltos en bolsa individual de papel encerado o plástico. La cocada es el dulce elaborado con coco rayado, leche, azúcar y yemas de huevo, mezclada a temperatura elevada, moldeada, horneada y dorada en la parte superior. Puede tener formas y colores variables.</t>
  </si>
  <si>
    <t>GUAYABA EN ALMIBAR HOSPITAL Y GUARDERIA Bajo estricta prescripción nutriológica. Para Guarderías: En estock para uso en contingencias autorizadas por la normativa Lata de 800 + 30 g con recubrimiento interior anticorrosivo ya sea plástico o con cubierta estañada.</t>
  </si>
  <si>
    <t>MANGO EN ALMIBAR HOSPITAL Y GUARDERIA Bajo estricta prescripción nutriológica. Para Guarderías: En estock para uso en contingencias autorizadas por la normativa Lata de 800 + 30 g con recubrimiento interior anticorrosivo ya sea plástico o con cubierta estañada.</t>
  </si>
  <si>
    <t>MERMELADA DE FRESA HOSPITAL Bajo estricta prescripción nutriológica. En frasco de vidrio y/o botella de plástico 470 + 30 g. Es el producto obtenido de la cocción y concentración de fresas sanas, limpias y con el grado de madurez adecuado, ya sean frescas o cangeladas con adición de azúcar, agua u otros edulcorantes naturales, otros ingredientes opcionales.</t>
  </si>
  <si>
    <t>MIEL DE MAIZ HOSPITAL Bajo estricta prescripción nutriológica. En frasco de vidrio o PVC de 500 ml.  Es el producto obtenido del maíz a partir de la conversión del almidón a azúcar, procedimiento que se lleva a cabo por hidrólisis ácida y/ o enzimática.</t>
  </si>
  <si>
    <t>PALANQUETA DE CACAHUATE HOSPITAL Bajo estricta prescripción nutriológica Por pieza, de 30 g envueltos en papel o bolsa individual de papel celofán o bolsa de polietileno.  La Palanqueta es el dulce, elaborado con cacahuate bien desarrollado, libre de de plagas, entero y limpio, mezclado con azúcar, moldeado y secado. Están clasificados por su textura como dulces quebradizos.</t>
  </si>
  <si>
    <t>POLVO PARA PREPARAR GELATINA DE AGUA BAJA EN CALORIAS HOSPITAL Bajo estricta prescripción nutriológica. Paquete o sobre de 25 g + 5 g para preparar de 8 a 10 porciones de gelatina de 100 a 130 ml.  Producto sin azúcar elaborado con mezcla de grenetina sin sabor como agente gelificante, edulcorantes sintéticos no nutritivos (acesulfame de potasio o aspartamo o sucralosa o combinados), ácido fumárico, citrato de sodio, sal yodada, adicionado de saborizantes y colorantes naturales o artificiales.</t>
  </si>
  <si>
    <t>POLVO PARA PREPARAR GELATINA DE LECHE HOSPITAL Bajo estricta prescripción nutriológica. Bolsa de polipropileno de 1000 g. Especificaciones de calidad y etiquetado en apego a la normatividad vigente Es el producto en forma de gránulos que sirve de base para preparar un gel cuando es hidratado, su materia prima es grenetina pura, azúcar refinado, ácido fumárico, citrato de sodio, sal yodatada, colorantes y diversos saborizantes artificiales.</t>
  </si>
  <si>
    <t>CONCENTRADO DE MANZANA NO CONGELADO PARA JUGO HOSPITAL Bajo estricta prescripción nutriológicaEn botella P.A.D. (polietileno de alta densidad) de 1000 ml. Es el producto concentrado obtenido de la extracción por medio del calentamiento del zumo de las frutas, previamente sanitizadas.</t>
  </si>
  <si>
    <t>JUGO DE MANZANA ULTRAPASTEURIZADO HOSPITAL Bajo estricta prescripción nutriológica. Para pacientes hospitalizados en áreas autorizadas: En envase tetra brik de 200 ml. Es el producto alimenticio líquido obtenido de la extracción o molienda de las frutas maduras, sanas y en buen estado, sin diluir ni fermentar o concentrado al alto vacío.</t>
  </si>
  <si>
    <t>ACEITE DE CARTAMO HOSPITAL Y GUARDERIA Envase de 1000 ml de vidrio o plástico que no altere las propiedades físicas y químicas del productoEs el producto obtenido de la semilla de cártamo (Carthamus trietorius, L.), sometido a un proceso de extracción refinación, neutralizado, lavado, secado, blanqueado, hibernado, desodorizado y filtrado.</t>
  </si>
  <si>
    <t>ACEITE DE OLIVA HOSPITAL Y GUARDERIA Por su alto costo, para uso excepcional en comedores y bajo estricta prescripción dietética para pacientes. Envase de 1000 ml, de lata, plástico o vidrio que no altere las propiedades físicas y químicas del producto.</t>
  </si>
  <si>
    <t>ACEITUNA VERDE CON SEMILLA HOSPITAL Exclusivamente pacientes hospitalizados bajo prescripción dietética. En envase de vidrio o plástico, con capacidad de 350 g + 20 g. Etiquetadas conforme a los criterios de calidad.Fruto que proviene del olivo cultivado recogidos durante el ciclo de maduración antes del envero.</t>
  </si>
  <si>
    <t>AJONJOLI HOSPITAL Y GUARDERIA Envasada en frasco de vidrio, plástico o bolsa de polietileno, con capacidad de 500 g + 20 g de marca registrada y autorizada. Semilla oleaginosa de la familia de las predaliáceas, de forma semitriangular, de 2 mm y de color amarillento.</t>
  </si>
  <si>
    <t>ALMENDRA TOSTADA SIN SAL HOSPITAL Baja prescripción dietética por su alto costo A granel por peso en gramos en bolsa de material impermeable que garantice la calidad del producto y su conservación.Fruto del almendro rosáceo, cuyo fruto es la almendra. Características sensoriales: consistencia firme, color paja, sabor característico sin sabores extraños.</t>
  </si>
  <si>
    <t xml:space="preserve">CAFE PURO EN GRANO TOSTADO Y MOLIDO HOSPITAL En bolsa de polipropileno de 1000 g, de marca registrada y autorizada. Producto obtenido después del tueste del grano de café verde, sano y limpio, fruto de la familia de las rubiáceas.Cafeína mínimo 2%, humedad máxima 6.0%. </t>
  </si>
  <si>
    <t>CAFE PURO SOLUBLE HOSPITAL En frasco de vidrio de 200 g + 25 , de marca registrada y autorizada. Es el producto soluble en agua que se obtiene por la deshidratación de la infusión del café 100% puro tostado, a través de aspersión a temperatura de 250ºC</t>
  </si>
  <si>
    <t xml:space="preserve">CAFE SOLUBLE DESCAFEINADO HOSPITAL En frasco de vidrio o PET 200 g + 25 g, de marca registrada y autorizada. Producto soluble en agua que se obtiene por la deshidratación de la infusión del café puro tostado descafeinado. </t>
  </si>
  <si>
    <t xml:space="preserve">CANELA EN RAJA HOSPITAL Y GUARDERIA A granel por gramos, en bolsa de plástico sellada o envasada en frasco de vidrio con capacidad de 1000 g, plástico o en bolsa de polietileno, de marca registrada y autorizada.  </t>
  </si>
  <si>
    <t>CLAVO ENTERO HOSPITAL Y GUARDERIA Envasado en frasco de vidrio, plástico o en bolsa de poliestireno y capacidad de 60 g + 5 g,, de marca registrada y autorizada. Especia constituida por los botones florales del clavero.</t>
  </si>
  <si>
    <t xml:space="preserve">COMINO ENTERO HOSPITAL Y GUARDERIA Entero: Envasado en frasco de vidrio con capacidad de 60 g + 5 g,, plástico o en bolsa de poliestireno, de marca registrada y autorizada. Molido: a granel por peso en gramos, en bolsa de plástico de 100g a 500g. </t>
  </si>
  <si>
    <t>GRENETINA DE AGUA EN POLVO 1000 G. HOSPITAL Y GUARDERIA En caja de cartón o bolsa de plástico de 1000 g, de marca registrada y autorizada. Ingrediente que se obtiene por cocción, por hidrólisis ácida o alcalina, del material colágeno, cartílago, tejido conjuntivo, hueso de animal, de gomas vegetales provenientes de cereales, de plantas, semillas y algas marinas que pueden procesarse en polvo o laminadas.</t>
  </si>
  <si>
    <t>OREGANO EN HOJA HOSPITAL Y GUARDERIA Envasado en frasco de vidrio, lata o plástico con capacidad de 1000 g + 5 g,, de marca registrada y autorizada. Hojas verdes de la familia de las labiadas, pecioladas más pálidas y vellosas por el envés, oblongas y redondeadas por su base.</t>
  </si>
  <si>
    <t>PIMIENTA NEGRA ENTERA HOSPITAL Y GUARDERIA Envasada en frasco de vidrio o plástico o bolsa de plástico de 60 g + 5 g. de marca registrada y autorizada  Fruto del árbol pimentero (Piper nigrum): la pimienta negra corresponde al fruto entero y desecado.</t>
  </si>
  <si>
    <t>PIMIENTA NEGRA MOLIDA HOSPITAL Y GUARDERIA Molida: Envasada en frasco de vidrio o plástico o bolsa de plástico de 60 g + 5 g. de marca registrada y autorizada  Fruto del árbol pimentero (Piper nigrum): la pimienta negra corresponde al fruto entero y desecado.</t>
  </si>
  <si>
    <t>POLVOS PARA HORNEAR HOSPITAL Y GUARDERIA En bote de cartón o lata de 454 g, de marca registrada y autorizada. Es la mezcla de sales utilizada en panificación para lograr la generación de gas (bióxido de carbono) que produce el efecto de levantamiento.</t>
  </si>
  <si>
    <t>SABORIZANTE ARTIFICIAL VAINILLA HOSPITAL Y GUARDERIA En frasco de vidrio o plástico, con capacidad de 250 , de marca registrada y autorizada. Producto líquido que se obtiene a partir de compuestos químicos sintéticos como ésteres, aldehídos, alcoholes cetonas y otros, con los que se logran las características de color, olor, sabor y aspecto del extracto de vainilla natural, con un costo notablemente más bajo.</t>
  </si>
  <si>
    <t>SALSA DE TOMATE “CATSUP” HOSPITAL Y GUARDERIA Botella de plástico, empaque tetrabrik o tetrawedge de 1000 g + 30 g . Producto elaborado a base del jugo y pulpa de tomates sanos, limpios, de madurez adecuada, concentrado y adicionados de vinagre, edulcorantes nutritivos (jarabe de maíz, dextrosa o sacarosa), sal yodatada, especies y condimentos opcionales y goma guar para obtener la consistencia que le caracteriza.</t>
  </si>
  <si>
    <t>SALSA INGLESA HOSPITAL Y GUARDERIA En envase de vidrio o plástico, con capacidad de 145 ml , de marca registrada y autorizada. Producto que se obtiene a partir de proteínas vegetales de cereal de trigo y de la soya, por hidrólisis con ácidos o con fermentos que tienen por principales componentes diversos aminoácidos, vinagre, agua, manzana, piloncillo, azúcar, especias, color caramelo, ajo y glutamato monosódico como conservador.</t>
  </si>
  <si>
    <t>CHAMPIÑON ENVASADO REBANADO HOSPITAL Y GUARDERIA El consumo de champiñones enlatados sólo se debe dar cuando no hay disponibilidad del fresco y su costo beneficio lo justifica. Envasado: rebanado en lata de 380 g. Entero o rebanado en lata que cumpla la normatividad de etiquetado vigente.</t>
  </si>
  <si>
    <t>CHICHARO PROCESADO ENVASADO HOSPITAL Y GUARDERIA Cuando no hay disponibilidad de chícharo en estado natural o su costo es mayor que el enlatado. Para reserva de víveres. En latas de 420 g + 20 g .</t>
  </si>
  <si>
    <t>CHILE CHIPOTLE ADOBADO EN LATA HOSPITAL En lata con capacidad de 380 g . Son chiles frescos que se procesan enteros y se les adiciona adobo elaborado con chile ancho, jitomate, vinagre, aceite, sal, agua y ácido cítrico que se someten a tratamiento térmico que garantiza su conservación junto con el sellado hermético de los envases.</t>
  </si>
  <si>
    <t>CHILE SECO ANCHO HOSPITAL A granel, por peso en kilogramo, en bolsas de plástico biodegradable cerradas, o cajas de plástico de tamaño adecuado al peso.Nota: en caso de que la bolsa no sea biodegradable el costo lo asumirá el proveedor. Son frutos de las solanáceas de forma cónica alargada o globosa, dependiendo de la variedad; miden de 3 a 14 cm de largo y de 2 a 6 cm de ancho.</t>
  </si>
  <si>
    <t>CHILE SECO ARBOL HOSPITAL A granel, por peso en kilogramo, en bolsas de plástico biodegradable cerradas, o cajas de plástico de tamaño adecuado al peso.Nota: en caso de que la bolsa no sea biodegradable el costo lo asumirá el proveedor. Son frutos de las solanáceas de forma cónica alargada o globosa, dependiendo de la variedad; miden de 3 a 14 cm de largo y de 2 a 6 cm de ancho.</t>
  </si>
  <si>
    <t>CHILE SECO CHILPOTLE HOSPITAL A granel, por peso en kilogramo en bolsas de plástico biodegradable cerradas, o cajas de plástico de tamaño adecuado al peso.Nota: en caso de que la bolsa no sea biodegradable el costo lo asumirá el proveedor. Son frutos de las solanáceas de forma cónica alargada o globosa, dependiendo de la variedad; miden de 3 a 14 cm de largo y de 2 a 6 cm de ancho.</t>
  </si>
  <si>
    <t>CHILE SECO MULATO HOSPITAL A granel, por peso en kilogramo en bolsas de plástico biodegradable cerradas, o cajas de plástico de tamaño adecuado al peso.Nota: en caso de que la bolsa no sea biodegradable el costo lo asumirá el proveedor. Son frutos de las solanáceas de forma cónica alargada o globosa, dependiendo de la variedad; miden de 3 a 14 cm de largo y de 2 a 6 cm de ancho.</t>
  </si>
  <si>
    <t>CHILE SECO PASILLA HOSPITAL A granel, por peso en kilogramo, en bolsas de plástico biodegradable cerradas, o cajas de plástico de tamaño adecuado al peso.Nota: en caso de que la bolsa no sea biodegradable el costo lo asumirá el proveedor. Son frutos de las solanáceas de forma cónica alargada o globosa, dependiendo de la variedad; miden de 3 a 14 cm de largo y de 2 a 6 cm de ancho.</t>
  </si>
  <si>
    <t>CIRUELA PROCESADA DESHIDRATADA HOSPITAL Y GUARDERIA Por su alto costo, sólo para uso excepcional.A granel, peso en kilogramos en bolsa plástica de polietileno de alta densidad transparente de cierre hermético o abre fácil, en bandeja o tara de plástico reutilizable.</t>
  </si>
  <si>
    <t>JITOMATE PROCESADO EN PURE HOSPITAL Y GUARDERIA En lata o en tetrabrik de 1000 g.Es el producto proveniente de jitomates de la especie Licopersicum esculentum Mill maduros, lavados, molidos, tamizado, colado para la eliminación de la cascarilla, pedúnculos, semillas y otros cuerpos duros y gruesos; el producto resultante es un concentrado que contiene no menos del 8%, hasta 24% de sólidos solubles naturales del jitomate.</t>
  </si>
  <si>
    <t>SOYA PROCESADA EN CHORIZO VEGETARIANO HOSPITAL En bolsas de barrera de tres capas de 1000 g. Es el producto elaborado a base de soya precocida, aceite de maíz, condimentos (pimentón, ajo, sal, pimienta blanca, orégano, comino, clavo y canela); Color, olor y sabor a chorizo con o sin chile que corresponderá al etiquetado marcado en el envase.</t>
  </si>
  <si>
    <t>SOYA PROCESADA TEXTURIZADA HOSPITAL En bolsa de polietileno o poliestireno de 500 g. Es el producto obtenido de la extracción de la proteína de la harina de soya desgrasada, la cual se somete a un proceso de extrusión o sometida a una solución alcalina se les puede añadir aditivos como colorantes, saborizantes, grasas y ligantes proteínicos autorizados por la SSA.</t>
  </si>
  <si>
    <t>UVA PROCESADA DESHIDRATADA HOSPITAL Y GUARDERIA Para guarderías sólo se autoriza la variedad sin semillas. Vigilar su utilización por su alto costo.A granel, peso en kilogramos en bolsa plástica de polietileno de alta densidad transparente de cierre  hermético o abre fácil, en bandeja o tara de plástico reutilizable.</t>
  </si>
  <si>
    <t>TAMARINDO HOSPITAL Envasada en bolsa de polietileno o polipropileno con capacidad de 1000 g, de marca registrada y autorizada. Es el fruto del árbol de hasta 20 m de altura, leguminosa arbórea, pertenece a la familia de las Cesalpinoideas, de color café.</t>
  </si>
  <si>
    <t>APIO HOSPITAL Y GUARDERIA A granel o en manojos, por peso en kilogramos, en bolsas de plástico biodegradable, perforadas o en cajas de plástico adecuado al tamaño o peso del alimento. Nota: en caso de que la bolsa no sea biodegradable el costo lo asumirá el proveedor.</t>
  </si>
  <si>
    <t>BETABEL HOSPITAL Y GUARDERIA A granel, por peso en kilogramos. Su forma puede ser globosa o cónica, de 12 a 15 cm de diámetroPara presentaciones menores de 5 kg, en bolsas de plástico biodegradable, perforadas o en cajas de plástico de tamaño adecuado al peso. Nota: en caso de que la bolsa no sea biodegradable el costo lo asumirá el proveedor</t>
  </si>
  <si>
    <t>CEBOLLA BLANCA HOSPITAL Y GUARDERIA A granel, por peso en kilogramos. Para presentaciones menores de 5 kg, en bolsas de plástico biodegradable, perforadas o en cajas de plástico de tamaño adecuado. Nota: en caso de que la bolsa no sea biodegradable el costo lo asumirá el proveedor</t>
  </si>
  <si>
    <t xml:space="preserve">CEBOLLA CAMBRAY HOSPITAL Y GUARDERIA A granel, por peso en kilogramos. Para presentaciones menores de 5 kg, en bolsas de plástico biodegradable, perforadas o en cajas de plástico de tamaño adecuado. Nota: en caso de que la bolsa no sea biodegradable el costo lo asumirá el proveedor. </t>
  </si>
  <si>
    <t>CHAYOTE SIN ESPINAS HOSPITAL Y GUARDERIA A granel, por peso en kilogramos. Con un eje mayor de 14 a 16 cm y diámetro ecuatorial de 9 a 11 cm Para presentaciones menores de 5 kg, en bolsa de plástico biodegradable perforadas o en cajas de plástico de tamaño adecuado. Nota: en caso de que la bolsa no sea biodegradable el costo lo asumirá el proveedor.</t>
  </si>
  <si>
    <t>CHILACAYOTE HOSPITAL Y GUARDERIA A granel, por peso en kilogramos. El fruto es una pepónide de 14 a 17 cm de longitud. Para presentaciones menores de 5 kg, en bolsas de plástico biodegradable, perforadas o en cajas de plástico de tamaño adecuado. Nota: en caso de que la bolsa no sea biodegradable el costo lo asumirá el proveedor.</t>
  </si>
  <si>
    <t>CHILE CHILACA HOSPITAL A granel, por peso en kilogramo en bolsas de plástico biodegradable, perforadas o cajas de plástico de tamaño adecuado al peso.Nota: en caso de que la bolsa no sea biodegradable el costo lo asumirá el proveedor.</t>
  </si>
  <si>
    <t>CHILE HABANERO HOSPITAL A granel, por peso en kilogramo en bolsas de plástico biodegradable, perforadas o cajas de plástico de tamaño adecuado al peso. Nota: en caso de que la bolsa no sea biodegradable el costo lo asumirá el proveedor.</t>
  </si>
  <si>
    <t>VERDOLAGA HOSPITAL Extremar su higienizaciónA granel, por peso en kilogramos. Para presentaciones menores de 5 kg, en bolsas de plástico biodegradable, perforadas o en cajas de plástico de tamaño adecuado al peso, máximo 15 kg. Nota: en caso de que la bolsa no sea biodegradable el costo lo asumirá el proveedor.</t>
  </si>
  <si>
    <t>TE DE YERBABUENA NATURAL HOSPITAL Y GUARDERIA A granel, por peso en gramos, en bolsa de plástico perforada.  Planta herbácea, de 30 cm de altura, aromática, pertenece a la familia de las Labiadas, de tallo cuadrangular erecto, hojas opuestas ovado-oblongas, aserradas y de color verde pálido, muy aromáticas debido a sus aceites esenciales constituidos por el mentol principalmente, al que se le atribuyen propiedades terapéuticas.</t>
  </si>
  <si>
    <t xml:space="preserve">TE DE LIMON ZACATE NATURAL A granel, por peso en gramos, en bolsa de plástico perforada. Planta originaria de Asia, perteneciente a la familia de las Gramináceas, se le considera un pasto cuyas hojas son lineales y de olor a limón. </t>
  </si>
  <si>
    <t>PORO HOSPITAL Y GUARDERIA Extremar su higienización A granel, por peso en kilogramos. Para presentaciones menores de 5 kg, en bolsas de plástico biodegradable, perforadas o en cajas de plástico de tamaño adecuado al peso.  Nota: en caso de que la bolsa no sea biodegradable el costo lo asumirá el proveedor.</t>
  </si>
  <si>
    <t>PAPA CAMBRAY HOSPITAL Y GUARDERIA A granel, por peso en kilogramos. Para presentaciones menores de 5 kg, en bolsas de plástico biodegradable,perforadas o en cajas de plástico de tamaño adecuado al peso.  Nota: en caso de que la bolsa no sea biodegradable el costo lo asumirá el proveedor.</t>
  </si>
  <si>
    <t>NOPAL HOSPITAL Y GUARDERIA Extremar su higienizaciónA granel, por peso en kilogramos. Para presentaciones menores de 5 kg, en bolsas de plástico biodegradable, perforadas o en cajas de plástico de tamaño adecuado al peso.  Nota: en caso de que la bolsa no sea biodegradable el costo lo asumirá el proveedor.</t>
  </si>
  <si>
    <t>JITOMATE GUAJE O GUAJITO HOSPITAL Y GUARDERIA A granel, por peso en kilogramos. su tamaño varía entre 6 y 12 cm de diámetro, de color rojo intenso. Para presentaciones menores de 5 kg, en bolsas de plástico biodegradable, perforadas o en cajas de cartón o plástico de tamaño adecuado al peso.  Nota: en caso de que la bolsa no sea biodegradable el costo lo asumirá el proveedor.</t>
  </si>
  <si>
    <t>CHILE JALAPEÑO HOSPITAL A granel, por peso en kilogramo en bolsas de plástico biodegradable, perforadas o cajas de plástico de tamaño adecuado al peso. Nota: en caso de que la bolsa no sea biodegradable el costo lo asumirá el proveedor.</t>
  </si>
  <si>
    <t>CHILE POBLANO HOSPITAL A granel, por peso en kilogramo en bolsas de plástico biodegradable, perforadas o cajas de plástico de tamaño adecuado al peso. Nota: en caso de que la bolsa no sea biodegradable el costo lo asumirá el proveedor.</t>
  </si>
  <si>
    <t>CHILE SERRANO HOSPITAL A granel, por peso en kilogramos. Para presentaciones menores de 5 kg, en bolsas de plástico biodegradable, perforadas o cajas de plástico de tamaño adecuado al peso.  Nota: en caso de que la bolsa no sea biodegradable el costo lo asumirá el proveedor.</t>
  </si>
  <si>
    <t>COL BLANCA HOSPITAL Y GUARDERIA Extremar su higienización.A granel, por peso en kilogramos. Para presentaciones menores de 5 kg, en bolsas de plástico biodegradable, perforadas o en cajas de plástico de tamaño adecuado.  Nota: en caso de que la bolsa no sea biodegradable el costo lo asumirá el proveedor.</t>
  </si>
  <si>
    <t>EJOTE HOSPITAL Y GUARDERIA A granel, por peso en kilogramos. De 8 a 12 cm de largo
por 1 cm de ancho, son de color verde. Para presentaciones menores de 5 kg, en bolsas de plástico biodegradable, perforadas o en cajas de plástico de tamaño adecuado. Nota: en caso de que la bolsa no sea biodegradable el costo lo asumira el proveedor.</t>
  </si>
  <si>
    <t>ESPINACA FRESCA HOSPITAL Y GUARDERIA Extremar medidas de higiene. Vegetal de hoja verde vivaz, lisa y grande, de 25 a 40 cm de longitud. A granel o en manojos, por peso en kilogramos, envasadas en bolsas de plástico biodegradable, con perforaciones para ventilar el producto, sin que la hoja sobresalga del nivel superior.  Nota: en caso de que la bolsa no sea biodegradable el costo lo asumirá el proveedor.</t>
  </si>
  <si>
    <t>JITOMATE BOLA, HOSPITAL Y GUARDERIA A granel, por peso en kilogramos. Su tamaño varía entre 6 y 12cm de diámetro, de color rojo intenso. Para presentaciones menores de 5 kg, en bolsas de plástico biodegradable, perforadas o en cajas de cartón o plástico de tamaño adecuado al peso.  Nota: en caso de que la bolsa no sea biodegradable el costo lo asumirá el proveedor.</t>
  </si>
  <si>
    <t>CHAMPIÑON FRESCO HOSPITAL Y GUARDERIA Extremar técnicas de higienización en estado fresco. Fresco: A granel, por peso en kilogramos, en cajas de plástico u otro material impermeable de tamaño adecuado. Son vegetales carentes de clorofila, pertenecen a la división de los Eumicetos.  Nota: en caso de que la bolsa no sea biodegradable el costo lo asumirá el proveedor.</t>
  </si>
  <si>
    <t>CILANTRO HOSPITALES Y GUARDERIAS A granel por peso en gramos, en bolsa de plástico perforada. Planta umbelífera mediterránea de hasta 70 cm de altura, las hojas tienen segmentos anchos y divididos en tiras muy finas y cuneiformes. Las hojas son de color verde intenso.</t>
  </si>
  <si>
    <t xml:space="preserve">EPAZOTE HOSPTITALES Y GUARDERIAS A granel, por peso en gramos, en bolsa de plástico perforada. Planta originaria de América, perteneciente a la familia de las quenopodiáceas, sus hojas son alternas muy aromáticas, elíptico lanceoladas, irregularmente. </t>
  </si>
  <si>
    <t>GERMINADO DE ALFALFA HOSPITAL Y GARDERIAS Extremar su higienización A granel, por peso en kilogramos, en cajas de plástico, de tamaño adecuado.Son productos que se obtienen de la germinación de algunas semillas como la alfalfa o la soya al someterse a la obscuridad durante un período de tiempo de 10 o más días hasta que los tallos se desarrollen.</t>
  </si>
  <si>
    <t>GERMINADO DE SOYA HOSPITAL Y GARDERIAS Extremar su higienización A granel, por peso en kilogramos, en cajas de plástico , de tamaño adecuado.Son productos que se obtienen de la germinación de algunas semillas como la alfalfa o la soya al someterse a la obscuridad durante un período de tiempo de 10 o más días hasta que los tallos se desarrollen.</t>
  </si>
  <si>
    <t>HIERBAS DE OLOR HOSPTITALES Y GUARDERIAS A granel, por peso en gramos, en manojo que contenga las tres variedades de hierbas en bolsa de plástico perforada. Se presentan las tres en un manojo como hierbas de olor o pueden adquirirse por separado. (laurel, mejorana y tomillo).</t>
  </si>
  <si>
    <t>HOJA DE AGUACATE HOSPTITALES Y GUARDERIAS A granel, por peso en gramos, en manojo, en bolsa de plástico perforada. Hojas del árbol de aguacate, perteneciente a la familia de las lauráceas, frondoso muy ramificado, alcanza 15 a 20 m de altura.</t>
  </si>
  <si>
    <t>PEREJIL HOSPTITALES Y GUARDERIAS A granel, por peso en gramos, en bolsa de plástico perforada. El aroma de esta planta herbácea; umbelífera, imparte un sabor ligeramente amargo.</t>
  </si>
  <si>
    <t>MAYONESA  1400 G. Es el producto obtenido por la emulsión cremosa, elaborado con un mínimo de 65% de aceite vegetal comestible, un mínimo de 6% de yema líquida de huevo fresco o su equivalente en sus diferentes formas, vinagre, adicionada o no de jugo de limón, sal, edulcorantes nutritivos, acidulantes, mostaza, condimentos y aditivos permitidos, excepto azafrán, cúrcuma y espesantes. características sensoriales: consistencia homogénea y cremosa, color blanco con ligeras notas amarillas característico, libre de grumos y materiales extraños; olor y sabor característico y sin rancidez. presentación en frasco de vidrio o de plástico, etiquetado conforme a los criterios de calidad y normatividad vigente.</t>
  </si>
  <si>
    <t>MAYONESA 720 G.  Es el producto obtenido por la emulsión cremosa, elaborado con un mínimo de 65% de aceite vegetal comestible, un mínimo de 6% de yema líquida de huevo fresco o su equivalente en sus diferentes formas, vinagre, adicionada o no de jugo de limón, sal, edulcorantes nutritivos, acidulantes, mostaza, condimentos y aditivos permitidos, excepto azafrán, cúrcuma y espesantes. características sensoriales: consistencia homogénea y cremosa, color blanco con ligeras notas amarillas característico, libre de grumos y materiales extraños; olor y sabor característico y sin rancidez. presentación en frasco de vidrio o de plástico, etiquetado conforme a los criterios de calidad y normatividad vigente.</t>
  </si>
  <si>
    <t>MOLE VERDE EN PASTA HOSPITAL Acorde a los hábitos de la región donde tenga un costo local bajo y sea accesible. Debe garantizarse la calidad del producto autorizado. Envase de plástico de 1000 g de marca registrada.</t>
  </si>
  <si>
    <t>PIEZA</t>
  </si>
  <si>
    <t>PAQUETE</t>
  </si>
  <si>
    <t>LT</t>
  </si>
  <si>
    <t>DURAZNO HOSPITAL Y GUARDERIA A granel, peso en kilogramos en bandeja de pulpa de cartón moldeada y caja cartón con tapa. *La fruta puede ser de diversas variedades, blanca, amarilla o rosada, de forma redonda u oblonga, semi acorazonada, de 8 a 10 cm de diámetro, 150 gr +5 Deben ser frescos, limpios, sanos, enteros y bien desarrollados.</t>
  </si>
  <si>
    <t>GUAYABA HOSPITAL Y GUARDERIA A granel por kilogramos en rejilla o caja uvera de plástico reutilizable. *Es un fruto soldado (sincárpico), de la familia de las mirtáceas, del tipo de las bayas, carnoso, de forma redondeada, ligeramente periforme, de 5 cm de diámetro, 65 gr +5. Debe estar bien desarrollada, sana, fresca, limpia, de consistencia firme y ausente de humedad exterior anormal, de grietas o de magulladuras acentuadas abundantes raspaduras o costras extensas, de heridas no cicatrizadas o de plagas.</t>
  </si>
  <si>
    <t>MANDARINA REYNA HOSPITAL Y GUARDERIA A granel, peso en kilogramos en bandeja o tara de plástico reutilizable con peso no mayor a 10 kg. *Es una fruta de consistencia suave, de forma redonda, cuya superficie se moldea de acuerdo a sus gajos con diámetro mayor de 5 a 12 cm., 200 gr +5 debe estar bien desarrollada, sana, fresca, limpia, de consistencia firme y ausente de humedad exterior anormal, de magulladuras o raspaduras extensas, de heridas o de plagas.</t>
  </si>
  <si>
    <t>MANZANA RALLADA HOSPITAL Y GUARDERIA A granel, peso en kilogramos en bandeja de pulpa de cartón moldeada y caja cartón con tapa. *Fruto de la familia de las rosáceas, de forma globosa, deprimido o un poco alargado, umbilicado por los dos extremos, el fruto es carnoso de 10 cm de diámetro, 200g +5 Debe estar bien desarrollada, sana, fresca, limpia, de textura lisa, de consistencia firme y ausente de humedad exterior anormal, de magulladuras o raspaduras extensas, de heridas o de plagas.</t>
  </si>
  <si>
    <t>MANZANA STARKING HOSPITAL Y GUARDERIA A granel, peso en kilogramos en bandeja de pulpa de cartón moldeada y caja cartón con tapa. *Fruto de la familia de las rosáceas, de forma globosa, deprimido o un poco alargado, umbilicado por los dos extremos, el fruto es carnoso de 10 cm de diámetro, 200 gr +5 Debe estar bien desarrollada, sana, fresca, limpia, de textura lisa, de consistencia firme y ausente de humedad exterior anormal, de magulladuras o raspaduras extensas, de heridas o de plagas.</t>
  </si>
  <si>
    <t>NARANJA PARA JUGO HOSPITAL Y GUARDERIA A granel, peso en kilogramos en bandeja o tara de plástico reutilizable. *Fruto de la familia de las rutáceas, hesperidio de forma redonda, de 8 a 12 cm de diámetro, 200 gr +5 de consistencia suave; la cáscara tiene dos capas, debe estar bien desarrollada, sana, fresca, limpia, de consistencia firme y ausente de humedad exterior anormal, de magulladuras o raspaduras extensas, de heridas o de plagas, sin moho.</t>
  </si>
  <si>
    <t>PERA MANTEQUILLA HOSPITAL Y GUARDERIA A granel, peso en kilogramos en bandeja de pulpa de cartón moldeada y caja cartón con tapa. *El fruto es carnoso, de forma inconfundible. Su cáscara es lisa, de color verde, amarillo, café o rojizo, ligeramente apastelado. 150g +5</t>
  </si>
  <si>
    <t>PERON HOSPITAL Y GUARDERIA A granel, peso en kilogramos en bandeja de pulpa de cartón moldeada y caja cartón con tapa. *Es de forma redonda, consistencia firme, similar a la manzana, pero la cáscara es menos delgada, de color verde o amarillo y/o lisa. Debe estar bien desarrollado, sano, fresco, limpio, de consistencia firme y ausente de humedad exterior anormal, demagulladuras o raspaduras extensas, de heridas o de plagas. 200 g +5</t>
  </si>
  <si>
    <t xml:space="preserve">PLATANO TABASCO HOSPITAL Y GUARDERIA A granel, peso en kilogramos en caja de cartón corrugado de doble pared. *Los frutos son bayas de forma alargada y característica, la fruta madura mide de 15 a 20  cm según la variedad, su cáscara de color amarillo y puntas alimonadas. </t>
  </si>
  <si>
    <t>TORONJA ROJA HOSPITAL Y GUARDERIA A granel, peso en kilogramos en bandeja o tara de plástico reutilizable. *Es un fruto carnoso de la familia de las rutáceas, de forma redonda y de 14 a 18 cm de diámetro, 120 g +5,  la cáscara es de color verde limón y amarillo, brillante y lisa.</t>
  </si>
  <si>
    <t xml:space="preserve">TUNA HOSPITAL Y GUARDERIA A granel, peso en kilogramos en bandeja o tara de plástico reutilizable. *Fruto de terrenos áridos, es una baya de forma ovoidal, con diámetro de 6 a 9 cm, 100 gr. es carnoso y de sabor muy dulce cuando madura. La cáscara es de color verde claro con numerosas espinas. </t>
  </si>
  <si>
    <t>ELOTE FRESCO ENTERO HOSPITAL Y GUARDERIA A granel de 15 a 20 cm de largo, por peso en kilogramos. Para presentaciones menores de 5 kg, en bolsas de plástico biodegradable, perforadas o en cajas de plástico de tamaño adecuado.  Nota: en caso de que la bolsa no sea biodegradable el costo lo asumirá el proveedor.</t>
  </si>
  <si>
    <t xml:space="preserve">LECHUGA ROMANA HOSPITAL Se podrá utilizar para reserva de víveres o cuando el producto no está disponible en estado natural o su costo es mayor que el deshidratado.A granel, por peso en kilogramos.  Empaque individual, en bolsas de plastico biodegradable perforadas sin que las hojas sobresalgan del nivel superior o en cajas de plástico de tamaño adecuado al peso, máximo 15 Kg. </t>
  </si>
  <si>
    <t>PAPA BLANCA HOSPITAL Y GUARDERIA A granel, por peso en kilogramos, de 10 a 15 cm de diametro . Para presentaciones menores de 5 kg, en bolsas de plástico biodegradable,perforadas o en cajas de plástico de tamaño adecuado al peso.  Nota: en caso de que la bolsa no sea biodegradable el costo lo asumirá el proveedor.</t>
  </si>
  <si>
    <t>PEPINO HOSPITAL Y GUARDERIA A granel, por peso en kilogramos. El fruto es una pepónide de 15 a 20 cm de longitud, su peso aproximado es de 80 g a 250 g. Para presentaciones menores de 5 kg, en bolsas de plástico biodegradable, perforadas o en cajas de plástico de tamaño adecuado al peso.  Nota: en caso de que la bolsa no sea biodegradable el costo lo asumirá el proveedor.</t>
  </si>
  <si>
    <t>PIMIENTO MORRON HOSPITAL Y GUARDERIA A granel, por peso en kilogramos, de 10 a 15 cm. Entrega en paquetes menores de 5 kg, en bolsas de plástico biodegradable, perforadas o en cajas de plástico de tamaño adecuado al peso.  Nota: en caso de que la bolsa no sea biodegradable el costo lo asumirá el proveedor.</t>
  </si>
  <si>
    <t>TOMATE VERDE HOSPITAL Y GUARDERIA Extremar su higienizaciónA granel, sin cascara, por peso en kilogramos. Para presentaciones menores de 5 kg, en bolsas de plástico biodegradable, perforadas o en cajas de cartón o plástico de tamaño adecuado al peso. Nota: en caso de que la bolsa no sea biodegradable el costo lo asumirá el proveedor.</t>
  </si>
  <si>
    <t>ZANAHORIA HOSPITAL Y GUARDERIA A granel, por peso en kilogramos de de 15 a 20 cm. Para presentaciones menores de 5 kg, en bolsas de plástico biodegradable, perforadas o en cajas de plástico de tamaño adecuado al peso.Es la raíz de una planta herbácea de la familia de las umbelíferas, de color que va del amarillo al anaranjado.</t>
  </si>
  <si>
    <t>SOBRE</t>
  </si>
  <si>
    <t>FRASCO</t>
  </si>
  <si>
    <t>BOTE</t>
  </si>
  <si>
    <t>BOTELLA</t>
  </si>
  <si>
    <t>2606</t>
  </si>
  <si>
    <t>2607</t>
  </si>
  <si>
    <t>ATE DE FRUTAS HOSPITAL Y GUARDERIA Bajo estricta prescripción nutriológica. Para Guarderías: En estock para uso en contingencias autorizadas por la normativa de 1000g . Debe asegurarse la calidad del producto a través de un adecuado envasado y etiquetado.</t>
  </si>
  <si>
    <t>GALLETA MARIA HOSPITAL Y GUARDERIAEn bolsa de polietileno transparente o metalizado o poliestireno dentro de caja de cartón con capacidad de 1000 g. Producto elaborado fundamentalmente por una mezcla de harina Grado II, azúcares, sal, jarabe invertido, grasa vegetal parcialmente hidrogenada, sal, adicionada o no de vitaminas y aditivos permitidos por la SSA.</t>
  </si>
  <si>
    <t>CHILES JALAPEÑOS EN RAJAS HOSPITAL . Chiles enteros (serranos o jalapeños), lata; chiles en rajas (jalapeños), lata. chiles largos 380g (+ 50g lata de acuerdo cada clave). etiquetado de acuerdo con la normatividad vigente. son chiles frescos que se procesan enteros o en rajas en vinagre o escabeche, elaborados con chiles limpios y con el grado de madurez adecuado. Características sensoriales: color característico del chile, sólo se permite el 2% del peso total como chiles rojos, sabor picante, consistencia firme, sin presentar ablandamiento o endurecimiento excesivo. tamaño: uniforme sólo para chiles enteros.</t>
  </si>
  <si>
    <t>04</t>
  </si>
  <si>
    <t>MOLE POBLANO O ROJO EN PASTA HOSPITAL.Producto alimenticio de 1000g  color y aspecto variable según su composición que contiene como ingredientes básicos: chiles, aceites y/o grasas comestibles, harinas, féculas, almidones, sal, especias, condimentos, otros ingredientes opcionales conforme lo marca la norma oficial mexicana y aditivos autorizados por la secretaría de salud. Características sensoriales: consistencia de pasta semisólida, de suavidad homogénea, color de acuerdo con la variedad, olor y sabor característico de la variedad, sin presentar signo de rancidez o sabores y olores extraños. presentación envase de plástico de 1000 g  de marca registrada.</t>
  </si>
  <si>
    <t>JAMON DE PAVO REB 30 G. PAQ. 1000 G</t>
  </si>
  <si>
    <t>MORTADELA REB. 30 G. PAQ. 1000 G</t>
  </si>
  <si>
    <t>SALCHICHA DE CERDO VIENA PZA 40 G. PAQ. 1000 G</t>
  </si>
  <si>
    <t>SALCHICHA DE PAVO VIENA PZA 40 G. PAQ. 1000 G</t>
  </si>
  <si>
    <t>TOCINO (500 G)</t>
  </si>
  <si>
    <t>YOGURT NATURAL DE LECHE, ENVASE DE 1 LITRO</t>
  </si>
  <si>
    <t>LECHE ENTERA, TETRABRIK DE 1000 ML.</t>
  </si>
  <si>
    <t>LECHE SEMIDESCREMADA, TETRABRIK DE 1000 ML.</t>
  </si>
  <si>
    <t>MEDIA CREMA LATA DE 225 G</t>
  </si>
  <si>
    <t>CAÑA A GRANEL 1000 G</t>
  </si>
  <si>
    <t>DURAZNO A GRANEL 1000 G</t>
  </si>
  <si>
    <t>GUAYABA A GRANEL 1000 G</t>
  </si>
  <si>
    <t>JICAMA A GRANEL 1000 G</t>
  </si>
  <si>
    <t>MANDARINA A GRANEL 1000 G</t>
  </si>
  <si>
    <t>MANGO  A GRANEL 1000 G</t>
  </si>
  <si>
    <t>MANZANA RALLADA A GRANEL 1000 G</t>
  </si>
  <si>
    <t>MANZANA STARKING A GRANEL 1000 G</t>
  </si>
  <si>
    <t>MELON CHINO A GRANEL 1000 G</t>
  </si>
  <si>
    <t xml:space="preserve">NARANJA PARA JUGO A GRANEL 1000 G </t>
  </si>
  <si>
    <t>PAPAYA ROJA A GRANEL, 1000 G</t>
  </si>
  <si>
    <t xml:space="preserve">PERA MANTEQUILLA A  GRANEL, 1000 G </t>
  </si>
  <si>
    <t xml:space="preserve">PERON A GRANEL, 1000 G </t>
  </si>
  <si>
    <t>PIÑA A GRANEL, 1000 G</t>
  </si>
  <si>
    <t xml:space="preserve">PLATANO DOMINICO A GRANEL, 1000 G </t>
  </si>
  <si>
    <t>PLATANO MACHO A GRANEL, 1000 G</t>
  </si>
  <si>
    <t>PLATANO TABASCO A GRANEL, 1000 G</t>
  </si>
  <si>
    <t xml:space="preserve">SANDIA A GRANEL, 1000 G </t>
  </si>
  <si>
    <t>TEJOCOTE A GRANEL, 1000 G</t>
  </si>
  <si>
    <t>TORONJA A GRANEL, 1000  G</t>
  </si>
  <si>
    <t>TUNA A GRANEL, 1000 G</t>
  </si>
  <si>
    <t xml:space="preserve">UVA SIN SEMILLA A GRANEL, 1000 G </t>
  </si>
  <si>
    <t>LIMÓN SIN SEMILLA A GRANEL, 1000 G</t>
  </si>
  <si>
    <t xml:space="preserve">UVA CARDENAL A GRANEL, 1000 G </t>
  </si>
  <si>
    <t>ACELGA A GRANEL, 1000 G</t>
  </si>
  <si>
    <t>AGUACATE A GRANEL, 1000 G</t>
  </si>
  <si>
    <t xml:space="preserve">AJO BULBO A GRANEL, 1000 G </t>
  </si>
  <si>
    <t>BETABEL A GRANEL, 1000 G</t>
  </si>
  <si>
    <t xml:space="preserve">CALABACITA A GRANEL, 1000 G </t>
  </si>
  <si>
    <t xml:space="preserve">CEBOLLA BLANCA A GRANEL, 1000 G </t>
  </si>
  <si>
    <t xml:space="preserve">CEBOLLA CAMBRAY A GRANEL, 1000 G </t>
  </si>
  <si>
    <t>CHAMPIÑON FRESCO A GRANEL, 1000 G</t>
  </si>
  <si>
    <t xml:space="preserve">CHICHARO LIMPIO A GRANEL, 1000 G </t>
  </si>
  <si>
    <t xml:space="preserve">CHILACAYOTE A GRANEL, 1000 G </t>
  </si>
  <si>
    <t xml:space="preserve">CHILE CHILACA A GRANEL, 1000 G </t>
  </si>
  <si>
    <t xml:space="preserve">CHILE HABANERA A GRANEL, 1000 G </t>
  </si>
  <si>
    <t xml:space="preserve">CHILE JALAPAÑO A GRANEL, 1000 G </t>
  </si>
  <si>
    <t xml:space="preserve">CHILE POBLANO A GRANEL, 1000 G </t>
  </si>
  <si>
    <t xml:space="preserve">CHILE SERRANO A GRANEL, 1000 G </t>
  </si>
  <si>
    <t xml:space="preserve">CILANTRO A GRANEL, 1000 G </t>
  </si>
  <si>
    <t xml:space="preserve">COL BLANCA A AGRANEL, 1000 G </t>
  </si>
  <si>
    <t xml:space="preserve">EJOTE A GRANEL, 1000 G </t>
  </si>
  <si>
    <t xml:space="preserve">ELOTE FRESCO ENTERO A GRANEL, 1000 G </t>
  </si>
  <si>
    <t xml:space="preserve">EPAZOTE A GRANEL DE 1000 G </t>
  </si>
  <si>
    <t xml:space="preserve">ESPINACA FRESCA A GRANEL A 1000 G </t>
  </si>
  <si>
    <t xml:space="preserve">GERMINADO DE ALFALFA A GRANEL, 1000 G </t>
  </si>
  <si>
    <t>GERMINADO DE SOYA A GRANEL, 1000 G</t>
  </si>
  <si>
    <t xml:space="preserve">HIERBAS DE OLOR A GRANEL. 1000 G </t>
  </si>
  <si>
    <t xml:space="preserve">HOJA DE AGUACATE  A GRANEL, 1000 G </t>
  </si>
  <si>
    <t xml:space="preserve">JITOMATE BOLA A GRANEL, 1000 G </t>
  </si>
  <si>
    <t>JITOMATE GUAJE O GUAJITO A GRANEL, 1000 G</t>
  </si>
  <si>
    <t xml:space="preserve">LECHUGA ROMANA A GRANEL, 1000 G </t>
  </si>
  <si>
    <t xml:space="preserve">NOPAL A GRANEL, 1000 G </t>
  </si>
  <si>
    <t xml:space="preserve">PAPA BLANCA A GRANEL, 1000 G </t>
  </si>
  <si>
    <t xml:space="preserve">PAPA CAMBRAY A GRANEL, 1000 G </t>
  </si>
  <si>
    <t xml:space="preserve">PEPINO A GRANEL, 1000 G </t>
  </si>
  <si>
    <t xml:space="preserve">PEREJIL A GRANEL, 1000 G </t>
  </si>
  <si>
    <t xml:space="preserve">PIMIENTO MORRON A GRANEL, 1000 G </t>
  </si>
  <si>
    <t xml:space="preserve">PORO A GRANEL, 1000 G </t>
  </si>
  <si>
    <t xml:space="preserve">TE DE MANZANILLA A GRANEL, 1000 G </t>
  </si>
  <si>
    <t xml:space="preserve">TE DE YERBABUENA A GRANEL, 1000 G </t>
  </si>
  <si>
    <t xml:space="preserve">TOMATE VERDE LIMPIO A GRANEL, 1000 G </t>
  </si>
  <si>
    <t xml:space="preserve">VERDOLAGA A GRANEL, 1000 G </t>
  </si>
  <si>
    <t xml:space="preserve">ZANAHORIA AGRANEL, 1000 G </t>
  </si>
  <si>
    <t xml:space="preserve">AMARANTO EN SEMILLA A GRANEL, 1000 G </t>
  </si>
  <si>
    <t>ARROZ PULIDO EN BOLSA, 1000 G</t>
  </si>
  <si>
    <t>AVENA LAMINADA EN BOLSA, 1000 G</t>
  </si>
  <si>
    <t>GALLETA DULCE SURTIDA CAJA DE 430 G</t>
  </si>
  <si>
    <t>GALLETA MARIA CAJA DE 850 G</t>
  </si>
  <si>
    <t>GALLETA PARA SOPA BOLSA DE 150 G</t>
  </si>
  <si>
    <t>GALLETA SALADA ENVASE INDIVIDUAL, CAJA DE 500 + 50 G</t>
  </si>
  <si>
    <t>HARINA DE ARROZ, CAJA DE 250 G</t>
  </si>
  <si>
    <t>HARINA DE MAIZ NIXTAMALIZADA, BOLSA DE 1000 G</t>
  </si>
  <si>
    <t xml:space="preserve">HARINA DE MAIZ SIN NIXTAMALIZAR, CAJA DE 750 G </t>
  </si>
  <si>
    <t>HARINA DE  MAIZ SIN NIXTAMALIZAR DE SABORES, SOBRE DE 50 G</t>
  </si>
  <si>
    <t xml:space="preserve">HARINA DE TRIGO EN BOLSA DE 1000 G </t>
  </si>
  <si>
    <t>HOJUELAS DE MAIZ, CAJA DE CARTÓN DE 600 + 20 G</t>
  </si>
  <si>
    <t xml:space="preserve">MAIZ CACAHUAZINTLE PRECOCIDO, BOLDA DE 1000 G </t>
  </si>
  <si>
    <t>DULCE DE AMARANTO PIEZA DE 30 G</t>
  </si>
  <si>
    <t xml:space="preserve">FRIJOL NEGRO  BOLSA DE 1000 G </t>
  </si>
  <si>
    <t xml:space="preserve">FRIJO PERUANO BOLSA DE 1000 G </t>
  </si>
  <si>
    <t>HABA SECA BOLSA DE 1000 G</t>
  </si>
  <si>
    <t>LENTEJA, BOLSA DE 1000 G</t>
  </si>
  <si>
    <t xml:space="preserve">ATE DE FRUTAS EN LATA </t>
  </si>
  <si>
    <t xml:space="preserve">AZÚCAR MORENO, BOLSA DE 1000 G </t>
  </si>
  <si>
    <t>CHOCOLATE DE MESA CON AZÚCAR CAJE DE 500 + 20 G</t>
  </si>
  <si>
    <t xml:space="preserve">COCADA DE 30 G EN BOLSA INDIVIDUAL </t>
  </si>
  <si>
    <t>DURAZNO EN MITADES EN ALMIBAR, LATA DE 800 + 30</t>
  </si>
  <si>
    <t>GUAYABA EN ALAMIBAR, LATA DE 800 + 30 G</t>
  </si>
  <si>
    <t>MAGO EN ALMIBAR, LATA DE 800 + 30 G</t>
  </si>
  <si>
    <t>MERMELADA DE FRESA, FRASCO DE 470 + 30 G</t>
  </si>
  <si>
    <t>MIEL DE ABEJA, FRACO DE 330 ML</t>
  </si>
  <si>
    <t>MIEL DE MAIZ, FRASCO DE 500 ML</t>
  </si>
  <si>
    <t>MIEL DE MAIZ SABOR MAPLE, FRASCO DE 500 ML</t>
  </si>
  <si>
    <t>PALANQUETA DE CACAHUATE DE 30 G, BOLSA INDIVIDUAL</t>
  </si>
  <si>
    <t>PIÑA EN ALMIBAR, LATA DE 800 + 30</t>
  </si>
  <si>
    <t>PIÑA EN TROZO EN ALMIBAR, LATA DE 800 + 30 G</t>
  </si>
  <si>
    <t>POLVO PARA GELATINA EN AGUA BAJA EN CALORIAS, CAJA DE 25 + 5 G</t>
  </si>
  <si>
    <t xml:space="preserve">POLVO PARA GELATINA EN AGUA, CAJA DE 100 + 10 G </t>
  </si>
  <si>
    <t>POLVO PARA GELATINA DE LECHE, BOLSA DE 1000 G</t>
  </si>
  <si>
    <t>CONCENTRADO DE MANZANA (JUGO) BOTELLA DE 1000 ML</t>
  </si>
  <si>
    <t>JUGO DE MANZANA, TETRABRIK DE 200 ML</t>
  </si>
  <si>
    <t>BEBIDA PARA BEBER DE MANZANA, BOTELLA 500ML</t>
  </si>
  <si>
    <t>ACEITE DE CARTAMO, BOTELLA DE 1000 ML</t>
  </si>
  <si>
    <t>ACEITE DE MAIZ, BOTELLA DE 1000 ML</t>
  </si>
  <si>
    <t>ACEITE DE OLIVA, ENVASE DE 1000 ML</t>
  </si>
  <si>
    <t>AJONJOLI, ENVASE DE 500 + 20 G</t>
  </si>
  <si>
    <t>ALMENDRA TOSTADA, BOLSA 1000 G</t>
  </si>
  <si>
    <t xml:space="preserve">CACAHUATE TOSTADO, BOLSA DE 1000 G </t>
  </si>
  <si>
    <t>MAYONESA, FRASCO DE 720 G</t>
  </si>
  <si>
    <t>MAYONESA, FRASCO DE 1400 G</t>
  </si>
  <si>
    <t>NUEZ SIN CASCARA , A GRANEL 1000 G</t>
  </si>
  <si>
    <t>ACEITUNA VERDE CON SEMILLA, ENVASE DE 350 + 20 G</t>
  </si>
  <si>
    <t>NUEZ SIN CASCARA HOSPITAL Bajo prescripción dietética por su alto costo A granel por 1000 gramos, en bolsa de plástico o de material impermeable que garantice la calidad y conservación del producto. Fruto del nogal, ovoide con dos cortezas duras, una exterior y otra interior dividida en dos porciones. Consistencia: pulpa blanca-amarillenta, oleosa, de olor y aroma característico, sabor suave.</t>
  </si>
  <si>
    <t>ACHIOTE EN PASTA, CAJA DE 100 G</t>
  </si>
  <si>
    <t>CAFÉ PURO TOSTADO, MOLIDO, BOLSA DE 1000 G</t>
  </si>
  <si>
    <t>CAFÉ PURO SOLUBLE, FRASCO DE 200 + 25 G</t>
  </si>
  <si>
    <t xml:space="preserve">CAFÉ SOLUBLE DESCAFEINADO, FRSCO DE 200 +25 G </t>
  </si>
  <si>
    <t>CANELA EN RAJA A GRANEL 1000 G</t>
  </si>
  <si>
    <t>CLAVO ENTERO, BOLSA DE 60 + 5 G</t>
  </si>
  <si>
    <t>COMINO ENTERO, BOLSA DE 60 + 5 G</t>
  </si>
  <si>
    <t>CONSOME DE POLLO ENVASE DE 1000 + 50 G</t>
  </si>
  <si>
    <t>FLOR DE JAMAICA, BOLSA DE 1000 G</t>
  </si>
  <si>
    <t>GRENETINA EN POLVO, BOLSA DE 1000 G</t>
  </si>
  <si>
    <t>MOSTAZA , FRASCO DE 450 + 20 G</t>
  </si>
  <si>
    <t>OREGANO EN HOJA, ENVASE DE 1000 + 5 G</t>
  </si>
  <si>
    <t>PIMIENTA NEGRA ENTERA, ENVASE DE 60 + 5 G</t>
  </si>
  <si>
    <t>PIMIENTA NEGRA MOLIDA, ENVASE DE 60 + 5 G</t>
  </si>
  <si>
    <t>POLVO PARA HORNEAR, BOTE DE 454 G</t>
  </si>
  <si>
    <t>SABORIZANTE ARTIFICIAL DE VAINILLA, FRASCO DE 250 ML</t>
  </si>
  <si>
    <t xml:space="preserve">SAL REFINADA, BOLSA DE 1000 G </t>
  </si>
  <si>
    <t>SALSA DE TOMATE CATSUP, ENVASE DE 1000 + 30 G</t>
  </si>
  <si>
    <t>SALSA INGLESA, FRASCO DE 145 ML</t>
  </si>
  <si>
    <t xml:space="preserve">TE DE MANZANILLA BOLSITA INIVIDUAL DE 1 A 1.5 G, CAJA DE 25 BOLSITAS </t>
  </si>
  <si>
    <t xml:space="preserve">TE DE NARANJO BOLSITA INIVIDUAL DE 1 A 1.5 G, CAJA DE 25 BOLSITAS </t>
  </si>
  <si>
    <t xml:space="preserve">TE DE YERBABUENA BOLSITA INIVIDUAL DE 1 A 1.5 G, CAJA DE 25 BOLSITAS </t>
  </si>
  <si>
    <t>VINAGRE DE FRUTAS, ENVASE DE 1000 ML</t>
  </si>
  <si>
    <t>ATUN EN ACEITE, LATA DE 295 G</t>
  </si>
  <si>
    <t>ATUN EN ACEITE, LATA DE 1880 G</t>
  </si>
  <si>
    <t>ATUN EN AGUA DE 295 G</t>
  </si>
  <si>
    <t xml:space="preserve">ATUN E AGUA DE 1880 G </t>
  </si>
  <si>
    <t>CHAMPIÑON ENVASADO, LATA DE 380 G</t>
  </si>
  <si>
    <t>CHICHARO PROCESADO, LATA DE 420 + 20 G</t>
  </si>
  <si>
    <t>CHILE CHIPOTLE, LATA DE 380 G</t>
  </si>
  <si>
    <t>CHILE SECO ANCHO, A GRANEL 1000 G</t>
  </si>
  <si>
    <t>CHILE SECO ARBOL, A GRANEL 1000 G</t>
  </si>
  <si>
    <t>CHILE SECO CASCABEL, A GRANEL 1000 G</t>
  </si>
  <si>
    <t>CHILE SECO CHIPOTLE, A GRANEL 1000 G</t>
  </si>
  <si>
    <t>CHILE SECO GUAJILLO, A GRANEL 1000 G</t>
  </si>
  <si>
    <t>CHILE SECO MORITA,  A GRANEL 1000 G</t>
  </si>
  <si>
    <t>CHILE SECO MULATO, A GRANEL 1000 G</t>
  </si>
  <si>
    <t>CHILES JALAPEÑOS, LATA 400 G</t>
  </si>
  <si>
    <t>CIRUELA PROCESADA, A GRANEL 1000 G</t>
  </si>
  <si>
    <t xml:space="preserve">JITOMATE PROCESADO EN PURE, ENVASE DE 1000 G </t>
  </si>
  <si>
    <t>MOLE VERDE EN PASTA, ENVASE DE 235 A 1000 G</t>
  </si>
  <si>
    <t xml:space="preserve">TAMARINDO, BOLSA DE 1000 G </t>
  </si>
  <si>
    <t>HUEVO ENTERO FRESCO, A GRANEL 1000 G</t>
  </si>
  <si>
    <t xml:space="preserve">UVA PROCESADA DESHIDRATADA, A GRANEL 1000 G </t>
  </si>
  <si>
    <t>CHILE SECO PASILLA, A GRANEL 1000 G</t>
  </si>
  <si>
    <t>MOLE POBLANO O ROJO, ENVASE DE 1000 G</t>
  </si>
  <si>
    <t>IMPORTE MINIMO</t>
  </si>
  <si>
    <t>CATEGORÍA</t>
  </si>
  <si>
    <t>No.</t>
  </si>
  <si>
    <t>GRANEL</t>
  </si>
  <si>
    <t>SALCHICHA DE PAVO VIENA HOSPITAL Y GUARDERIA En piezas de 40 g + 3 g en paquetes de 1000 g empacadas al alto vacío en película de polietileno, con materiales inocuos y resistentes, que no reaccionen con el producto o alteren sus características físicas, quícas y sensoriales, preferentemente materiales biodegradables y muestre etiqueta con: información nutrimental. Grasa 16-18%.</t>
  </si>
  <si>
    <t>TOCINO HOSPITAL Y GUARDERIA Paquete de 500 g , empacado en rebanadas al alto vacío y etiquetado conforme a los criterios de calidad.  Es el producto obtenido del tejido adiposo de la pared abdominal de cerdos sanos con o sin piel, sometidos a proceso de curado y ahumado, condimentos y aditivos alimenticios autorizados por la Secretaría de Salud.Grasas 57.5%</t>
  </si>
  <si>
    <t>YOPLAIT</t>
  </si>
  <si>
    <t>JICAMA HOSPITAL Y GUARDERIA A granel, peso en kilogramos en bandeja o tara de plástico reutilizable. *Botánicamente es una leguminosa, raíz tuberosa formada por uno o varios seudotubérculos, con forma de trompo de base aplanada y ápice obtuso, de diversos tamaños y peso, varía de 500 a 1000 g, debe estar bien desarrollada, sana, fresca, limpia, de consistencia firme y ausente de humedad exterior anormal, arrugas, magulladuras o costras extensas, de heridas o de plagas.</t>
  </si>
  <si>
    <t>MANGO ATAULFO HOSPITAL Y GUARDERIA Conforme a la calidad y precio se solicitará la variedad.A granel, peso en kilogramos en bandeja o tara de plástico reutilizable con peso no mayor a 10 kg. *Fruto tropical de la familia de las anacadiaceas, de diversos tamaños según la variedad, de 10 a 25 cm de diámetro, 150 g +5 Debe estar bien desarrollado, sano, fresco, limpio, de consistencia firme, ausente de humedad exterior anormal, de magulladuras acentuadas, debe presentar pedúnculos con una longitud máxima de 1 cm, así como abundantes raspaduras extensas, de heridas o de plagas.</t>
  </si>
  <si>
    <t>PLATANO DOMINICO HOSPITAL Y GUARDERIA A granel, peso en kilogramos en caja de cartón corrugado de doble pared. *Los frutos son bayas de forma alargada y característica, la fruta madura mide de 10 a 30 cm según la variedad, su cáscara de color amarillo que gradualmente adquiere motas café obscuro o negras que denotan distintos grados de madurez.</t>
  </si>
  <si>
    <t>TE DE MANZANILLA NATURAL HOSPITAL Y GUARDERIA A granel, por peso en gramos, en bolsa de plástico perforada.  Flor de líquidos blanco y centro amarillo de la planta herbácea de 60 cm de altura, ramificada, de la familia de las compuestas, de hojas partidas en segmentos filiformes.</t>
  </si>
  <si>
    <t>SIN MARCA</t>
  </si>
  <si>
    <t>ATUN EN ACEITE HOSPITAL Peso por ración de 60 + 5 g. Latas de 295 g peso neto en trozo de lomo o lonja, de aluminio o de hojalata con revestimiento de estaño y capas de barniz, transportar en taras de plástico, que cada lata muestre etiqueta con: lista de ingredientes (que no contenga soya), masa o peso drenado, nombre de la empresa, nombre genérico, nombre de la variedad, contenido en kilogramos, consérvese el producto en lugar fresco, lote, fecha de caducidad, lugar de procedencia (País).</t>
  </si>
  <si>
    <t>ATUN EN ACEITE HOSPITAL Peso por ración de 60 + 5 g. Latas de 1880 g peso neto en trozo de lomo o lonja, de aluminio o de hojalata con revestimiento de estaño y capas de barniz, transportar en taras de plástico, que cada lata muestre etiqueta con: lista de ingredientes (que no contenga soya), masa o peso drenado, nombre de la empresa, nombre genérico, nombre de la variedad, contenido en kilogramos, consérvese el producto en lugar fresco, lote, fecha de caducidad, lugar de procedencia (País).</t>
  </si>
  <si>
    <t>ATUN EN AGUA. HOSPITAL Y GUARDERIA. Peso por ración de 60 + 5 g. Latas de 295 g peso neto en trozo de lomo o lonja, de aluminio o de hojalata con revestimiento de estaño y capas de barniz, transportar en taras de plástico, que cada lata muestre etiqueta con: lista de ingredientes (que no contenga soya), masa o peso drenado, nombre de la empresa, nombre genérico, nombre de la variedad, contenido en kilogramos, consérvese el producto en lugar fresco, lote, fecha de caducidad, lugar de procedencia (País).</t>
  </si>
  <si>
    <t xml:space="preserve">HUEVO ENTERO HOSPITAL Y GUARDERIA Peso por ración de 55 g ± 5 g. A granel por peso en kilogramos, con peso promedio por pieza de 55 – 65 g, en empaques de cartón o plástico transparente, preferentemente materiales biodegradables, con separaciones individuales que los protegen, acomodadas dentro de una tara, que cada paquete no mayor a 5 kg. </t>
  </si>
  <si>
    <t>HOJUELAS DE MAIZ HOSPITAL Y GUARDERIA Bajo estricto control, por tener un costo mayor que otros productosEn caja de cartón de 660 g + 20 con bolsa plástica de película coextruída en el interior. Es un producto obtenido del grano del maíz, elaborado con sémola de maíz laminada (con eliminación del hollejo y germen) o harina de maíz.</t>
  </si>
  <si>
    <t>LA MILPITA</t>
  </si>
  <si>
    <t>CHOCOLATE DE MESA CON AZUCAR HOSPITAL Bajo estricta prescripción nutriológica En tablillas o barras envueltas en forma individual papel encerado o metálico con propiedades aislantes a la humedad y a los microorganismos, de 500 g + 20. Debe contener como mínimo 30 % de pasta de cacao, 15 % mínimo de grasa total proveniente del cacao, 55 % de sacarosa.</t>
  </si>
  <si>
    <t>DURAZNO EN MITADES EN ALMIBAR HOSPITAL Y GUARDERIA Bajo estricta prescripción nutriológica. Para Guarderías: En estock para uso en contingencias autorizadas por la normativa Lata de 800 + 30 g con recubrimiento interior anticorrosivo ya sea plástico o con cubierta estañada.</t>
  </si>
  <si>
    <t>MIEL DE ABEJA HOSPITAL Bajo estricta prescripción nutriológica. En frasco de vidrio, PVC O PET con dosificador de 330 ml,. Es el producto extraído de los panales de abejas, elaborado a partir del néctar de las flores o de exudaciones de las plantas, que son recogidos, transformados y almacenados por éstas.</t>
  </si>
  <si>
    <t>MIEL DE MAIZ SABOR MAPLE HOSPITAL Bajo estricta prescripción nutriológica. Frasco de vidrio o botella de PVC de 500 ml. Es el producto obtenido del maíz a partir de la conversión del almidón a azúcar, procedimiento que se lleva a cabo por hidrólisis y/ o enzimática, adicionada con maple natural. Características sensoriales: color café obscuro traslúcido, olor y sabor característico del maple.</t>
  </si>
  <si>
    <t>PIÑA EN REBANADAS EN ALMIBAR HOSPITAL Y GUARDERIA Bajo estricta prescripción nutriológica. Para Guarderías: En estock para uso en contingencias autorizadas por la normativa Lata de 800 g + 30g con recubrimiento interior anticorrosivo ya sea plástico con cubierta estañada.</t>
  </si>
  <si>
    <t>PIÑA EN TROZO EN ALMIBAR HOSPITAL Y GUARDERIA Bajo estricta prescripción nutriológica. Para Guarderías: En estock para uso en contingencias autorizadas por la normativa Lata de 800 g + 30 g con recubrimiento interior anticorrosivo ya sea plástico con cubierta estañada.</t>
  </si>
  <si>
    <t>POLVO PARA PREPARAR GELATINA DE AGUA HOSPITAL Bajo estricta prescripción nutriológica. Bolsa de polipropileno de 140 g + 20 g. Especificaciones de calidad y etiquetado en apego a la normatividad vigente Producto elaborado con mezcla de azúcar, grenetina sin sabor como agente gelificante, ácido fumárico, citrato de sodio, sal yodada, adicionado de saborizantes y colorantes naturales o artificiales.</t>
  </si>
  <si>
    <t>ACEITE DE MAIZ HOSPITAL Y GUARDERIA Envase de 900 ml, de plástico que no altere las propiedades físicas y químicas del producto. Especificaciones de calidad y etiquetado en apego a la normatividad vigente. Es el producto obtenido del germen de maíz sometido a un proceso de extracción, refinación, neutralizado, lavado, secado, blanqueado, hibernado, desodorizado y filtrado.</t>
  </si>
  <si>
    <t>CACAHUATE TOSTADO SIN SAL Y SIN CASCARA HOSPITAL Sin la cascarilla o membrana que cubre a cada semilla, a granel por gramos, en bolsa de material impermeable que garantice la calidad del producto y su conservación. Es la planta herbácea anual. Características sensoriales: Consistencia firme, color paja, sabor característico sin sabores extraños o rancios.</t>
  </si>
  <si>
    <t>ACHIOTE EN PASTA HOSPITAL Y GUARDERIA En caja de cartón con bolsa plástica que protege y envuelve la pasta con un peso de 100 g Es el sazonador que se obtiene de las semillas de la planta de la familia de las bixáceas, que se utilizan como ingrediente base, el cual se comercializa en forma de pasta.</t>
  </si>
  <si>
    <t>CONSOME DE POLLO DESHIDRATADO EN POLVO HOSPITAL Y GUARDERIA No deberá utilizarse como sustituto de la sal por su costo y contenido de grasas. Frasco y/o bolsa de plástico de 1000 g + 50 g. Se entiende por consomé de pollo deshidratado, al alimento preparado por cocción del pollo o de la gallina en agua potable, o los extractores de su carne, sazonado con especias, condimentos y adicionado o no de aditivos y otros ingredientes autorizados por la Secretaría de Salud.</t>
  </si>
  <si>
    <t>FLOR DE JAMAICA HOSPITAL Y GUARDERIA Envasada en bolsa de polietileno o polipropileno con capacidad de 1000 g, de marca registrada y autorizada. Planta de la familia de las malváceas, que mide de 1.5 a 2 m de altura, tiene tallos rojizos, debe estar exento de contaminantes.</t>
  </si>
  <si>
    <t>MOSTAZA PREPARADA HOSPITAL Y GUARDERIA En frasco de vidrio o plástico de 450 g + 20 g, de marca registrada y autorizada. Se entiende por mostaza preparada a la mezcla de mostaza en polvo procedente de la semilla de Sinapis alba, Brassica nigra o de o de otras afines, las semillas deben ser maduras, limpias, sanas, no estar desgrasadas en forma parcial o totalmente, en cantidad mínima del 15% de agua, vinagre con o sin adición de sal, azúcar, aceite vegetal comestible y otras especias.</t>
  </si>
  <si>
    <t>SAL REFINADA YODATADA HOSPITAL Y GUARDERIA En bolsa de plástico o bote de plástico tipo salero para protegerla de la humedad, de 1000 g; individual en sobre de 1g. Producto constituido básicamente por cloruro de sodio (Na Cl) que proviene exclusivame de fuentes naturales, se presenta en forma de polvo blanco o cristales incoloros, inodoros, solubles en agua y de sabor salino blanco, debe estar purificado y encontrarse libre de nitritos, nitratos, sales amoniacales y de otros contaminantes.</t>
  </si>
  <si>
    <t>TE DE MANZANILLA NATURAL EN PRESENTACION INDIVIDUAL HOSPITAL Y GUARDERIA Envasada en bolsitas o sobres de presentación individual de papel filtro, de 1 a 1.5 g en caja de cartón de 25 bolsitas. Es el producto elaborado con la flor amarilla y tallos sanos y limpios de la hierba manzanilla común que es sometida a un proceso de secado y fraccionamiento.</t>
  </si>
  <si>
    <t>VINAGRE DE FRUTAS HOSPITAL Y GUARDERIA En envase de vidrio o plástico de 1000 ml, con tapón no susceptible de corrosión. Producto obtenido por la fermentación acética de líquidos alcohólicos provenientes de vinos o jugo de frutas sanas y maduras, cereales; alcohol potable o desnaturalizado.</t>
  </si>
  <si>
    <t xml:space="preserve">FUD, ZWAN, KIR, SAN RAFAEL / VARIAS MARCAS / </t>
  </si>
  <si>
    <t xml:space="preserve">CHIMEX, FUD, ZWAN, KIR, SAN RAFAEL / VARIAS MARCAS / </t>
  </si>
  <si>
    <t>PASTAS PARA SOPA LARGAS HOSPITAL Y GUARDERIA Bolsa de celofán de 200 g + 20 (forma de MACARRON).Es el producto elaborado por la desecación de las figuras obtenidas del amasado de semolina y / o harina de trigo Tipo I, agua potable, ingredientes opcionales y aditivos permitidos por la SSA.</t>
  </si>
  <si>
    <t xml:space="preserve">LALA, ALPURA, GREAT VALUE, SAN MARCOS / VARIAS MARCAS / </t>
  </si>
  <si>
    <t xml:space="preserve">CAMPO FLORIDO, VALLE VERDE, VARIAS MARCAS, </t>
  </si>
  <si>
    <t xml:space="preserve">CAMPO FLORIDO, VARIAS MARCAS, </t>
  </si>
  <si>
    <t xml:space="preserve">GERBER, VARIAS MARCAS, </t>
  </si>
  <si>
    <t xml:space="preserve">GAMESA, VARIAS MARCAS, </t>
  </si>
  <si>
    <t xml:space="preserve">TRES ESTRELLAS, VARIAS MARCAS, </t>
  </si>
  <si>
    <t xml:space="preserve">MINSA, SIN MARCA, VARIAS MARCAS, </t>
  </si>
  <si>
    <t xml:space="preserve">NESTLE, VARIAS MARCAS, </t>
  </si>
  <si>
    <t xml:space="preserve">LA MODERNA, VARIAS MARCAS, </t>
  </si>
  <si>
    <t xml:space="preserve">LA COSTEÑA, HERDEZ, MONTE BLANCO, GREAT VALUE, VARIAS MARCAS, </t>
  </si>
  <si>
    <t xml:space="preserve">LA MOLINERA, ZULKA, VARIAS MARCAS,  </t>
  </si>
  <si>
    <t xml:space="preserve">DON GUSTAVO, VARIAS MARCAS, </t>
  </si>
  <si>
    <t xml:space="preserve">LA COSTEÑA, CLEMENTE JACQUES, GREAT VALUE, VARIAS MARCAS / </t>
  </si>
  <si>
    <t xml:space="preserve">CLEMENTE JAQUES, LA COSTEÑA, MC CORMICK, VARIAS MARCAS / </t>
  </si>
  <si>
    <t xml:space="preserve">CARLOTA, VARIAS MARCAS / </t>
  </si>
  <si>
    <t xml:space="preserve">KARO, VARIAS MARCAS / </t>
  </si>
  <si>
    <t xml:space="preserve">PRONTO, VARIAS MARCAS / </t>
  </si>
  <si>
    <t xml:space="preserve">PRONTO, CONGELLI, VARIAS MARCAS / </t>
  </si>
  <si>
    <t xml:space="preserve">CONGELLI, VARIAS MARCAS / </t>
  </si>
  <si>
    <t xml:space="preserve">BOING, VARIAS MARCAS, </t>
  </si>
  <si>
    <t xml:space="preserve">TUCAN, VARIAS MARCAS, </t>
  </si>
  <si>
    <t xml:space="preserve">JUMEX, VARIAS MARCAS, </t>
  </si>
  <si>
    <t xml:space="preserve">OLEÍCO, VARIAS MARCAS / </t>
  </si>
  <si>
    <t xml:space="preserve">PATRONA, VARIAS MARCAS / </t>
  </si>
  <si>
    <t xml:space="preserve">MEMBERS MARK, VARIAS MARCAS / </t>
  </si>
  <si>
    <t xml:space="preserve">VERMEX, LA COSTEÑA, BUFALO, VARIAS MARCAS / </t>
  </si>
  <si>
    <t xml:space="preserve">MC CORMICK, LA COSTEÑA, HELLMANN´S, VARIAS MARCAS, </t>
  </si>
  <si>
    <t xml:space="preserve">LA ANITA , VARIAS MARCAS / </t>
  </si>
  <si>
    <t xml:space="preserve">BLASON, VARIAS MARCAS / </t>
  </si>
  <si>
    <t xml:space="preserve">ORO AURRERA, VARIAS MARCAS / </t>
  </si>
  <si>
    <t xml:space="preserve">LOS PORTALES, NESCAFE, VARIAS MARCAS / </t>
  </si>
  <si>
    <t xml:space="preserve">MEMBERS MARK, SIN MARCA, </t>
  </si>
  <si>
    <t xml:space="preserve">DGARI, VARIAS MARCAS / </t>
  </si>
  <si>
    <t xml:space="preserve">MC CORMICK, VARIAS MARCAS / </t>
  </si>
  <si>
    <t xml:space="preserve">CASTELL, VARIAS MARCAS / </t>
  </si>
  <si>
    <t xml:space="preserve">FRAGATA, LA FINA, GREAT VALUE, VARIAS MARCAS / </t>
  </si>
  <si>
    <t xml:space="preserve">EMBASA, LA COSTEÑA, VARIAS MARCAS / </t>
  </si>
  <si>
    <t xml:space="preserve">CROSSE AND BLACKWELL, VARIAS MARCAS / </t>
  </si>
  <si>
    <t xml:space="preserve">LA PASTORA, VARIAS MARCAS / </t>
  </si>
  <si>
    <t xml:space="preserve">LA COSTEÑA, GREAT VALUE, VARIAS MARCAS / </t>
  </si>
  <si>
    <t xml:space="preserve">TUNY, DOLORES, HERDEZ, GREAT VALUE, VARIAS MARCAS, </t>
  </si>
  <si>
    <t xml:space="preserve">MONTE BLANCO, GREAT VALUE, VARIAS MARCAS, </t>
  </si>
  <si>
    <t xml:space="preserve">SAN MARCOS, LA MORENA, MONTE BLANCO, GREAT VALUE, VARIAS MARCAS, </t>
  </si>
  <si>
    <t xml:space="preserve">LA COSTEÑA, SAN MARCOS, LA MORENA, MONTE BLANCO, GREAT VALUE, VARIAS MARCAS, </t>
  </si>
  <si>
    <t>:  SAN JUAN, , SIN MARCA</t>
  </si>
  <si>
    <t xml:space="preserve">SOYA, VARIAS MARCAS,  </t>
  </si>
  <si>
    <t xml:space="preserve">CHATA, VARIAS MARCAS,  </t>
  </si>
  <si>
    <t xml:space="preserve">MERO MOLE, VARIAS MARCAS, </t>
  </si>
  <si>
    <t xml:space="preserve">DEL FUERTE, LA COSTEÑA, HERDEZ, VARIAS MARCAS, </t>
  </si>
  <si>
    <t>GPO</t>
  </si>
  <si>
    <t>GEN</t>
  </si>
  <si>
    <t>ESP</t>
  </si>
  <si>
    <t>DIF</t>
  </si>
  <si>
    <t>UNIDAD</t>
  </si>
  <si>
    <t>PRESENTACION</t>
  </si>
  <si>
    <t>LECHE Y DERIVADOS</t>
  </si>
  <si>
    <t>CARNES &amp; EMBUTIDOS</t>
  </si>
  <si>
    <t>FRUTAS Y VERDURAS</t>
  </si>
  <si>
    <t>GRUPO</t>
  </si>
  <si>
    <t>PRODUCTO</t>
  </si>
  <si>
    <t>DESCRIPCIÓN</t>
  </si>
  <si>
    <t>ABARROTES</t>
  </si>
  <si>
    <t>SALCHICHONERIA</t>
  </si>
  <si>
    <t>LACTEOS LÍQUIDOS</t>
  </si>
  <si>
    <t>ACEITES</t>
  </si>
  <si>
    <t>AZUCARES</t>
  </si>
  <si>
    <t>CAFE</t>
  </si>
  <si>
    <t>CANELA</t>
  </si>
  <si>
    <t>CARNE SECA Y PRODUCTOS D/PESCA</t>
  </si>
  <si>
    <t>CEREALES</t>
  </si>
  <si>
    <t>CEREAL DE ARROZ EN LATA, TIPO A, 270 G</t>
  </si>
  <si>
    <t>CEREAL DE AVENA EN LATA, TIPO B, 270 G</t>
  </si>
  <si>
    <t>CONDIMENTOS LIQUIDOS</t>
  </si>
  <si>
    <t>CONDIMENTOS SOLIDOS</t>
  </si>
  <si>
    <t>CONSOME</t>
  </si>
  <si>
    <t>DULCE REGIONAL</t>
  </si>
  <si>
    <t>DULCES</t>
  </si>
  <si>
    <t>FRUTAS INDUSTRIALIZADAS</t>
  </si>
  <si>
    <t>GELATINA</t>
  </si>
  <si>
    <t>GRASAS</t>
  </si>
  <si>
    <t>HARINAS Y GALLETAS</t>
  </si>
  <si>
    <t>HUEVO</t>
  </si>
  <si>
    <t>JARABE</t>
  </si>
  <si>
    <t>JUGO</t>
  </si>
  <si>
    <t>PASTA PARA SOPA CORTA BOLSA DE 200 + 20 G CODITO</t>
  </si>
  <si>
    <t>PASTA PARA SOPA CORTA BOLSA DE 200 + 20 G FIDEO</t>
  </si>
  <si>
    <t>PASTA PARA SOPA CORTA BOLSA DE 200 + 20 G LETRA</t>
  </si>
  <si>
    <t>PASTA PARA SOPA LARGA BOLSA DE 200 + 20 G ESPAGUETI</t>
  </si>
  <si>
    <t>PASTA PARA SOPA LARGA BOLSA DE 200 + 20 G MACARRON</t>
  </si>
  <si>
    <t>PASTAS CORTAS</t>
  </si>
  <si>
    <t>PASTAS LARGAS</t>
  </si>
  <si>
    <t>SAL</t>
  </si>
  <si>
    <t>LOCALIDAD</t>
  </si>
  <si>
    <t>CLAVE</t>
  </si>
  <si>
    <t xml:space="preserve">APIO A GRANEL, 1000 G </t>
  </si>
  <si>
    <t>TE DE LIMON A GRANEL, 1000 G</t>
  </si>
  <si>
    <t>MAXIMO</t>
  </si>
  <si>
    <t>MINIMO</t>
  </si>
  <si>
    <t>IMPORTE MAXIMO</t>
  </si>
  <si>
    <t>MAX HGZMF 7</t>
  </si>
  <si>
    <t>MIN HGZMF 7</t>
  </si>
  <si>
    <t>MAX HGRMF 1</t>
  </si>
  <si>
    <t>MIN HGRMF 1</t>
  </si>
  <si>
    <t>MAX HGZMF 5</t>
  </si>
  <si>
    <t>MIN HGZMF 5</t>
  </si>
  <si>
    <t>HGZMF 5 (ZAC)</t>
  </si>
  <si>
    <t>HGZMF 7 (CUAU)</t>
  </si>
  <si>
    <t>HGRMF 1 (CUER)</t>
  </si>
  <si>
    <t>DELEGACION (TOTALES)</t>
  </si>
  <si>
    <t>FRUTAS EN ESTADO NATURAL</t>
  </si>
  <si>
    <t>VEGETALES EN ESTADO NATURAL</t>
  </si>
  <si>
    <t>SEMILLAS DE LEGUMINOSAS</t>
  </si>
  <si>
    <t>VEGETALES INDUSTRIALIZADOS</t>
  </si>
  <si>
    <t>VEGETALES SECOS</t>
  </si>
  <si>
    <t>SOYA PROCESADA TEXTURIZADA, BOLSA DE 500 G</t>
  </si>
  <si>
    <t>SOYA PROCESADA EN CHORIZO, BOLSA DE  1000 G</t>
  </si>
  <si>
    <t>LEGUMINOSAS INDUSTRIALIZADAS</t>
  </si>
  <si>
    <t>PU</t>
  </si>
  <si>
    <t>MARCA (OPCIONAL)</t>
  </si>
  <si>
    <t>MAX</t>
  </si>
  <si>
    <t>MIN</t>
  </si>
  <si>
    <t>1 LT</t>
  </si>
  <si>
    <t>BEBIDA PARA BEBER DE MANZANA, BOTELLA 250ML</t>
  </si>
  <si>
    <t>BEBIDA PASTEURIZADA LISTA PARA BEBER DE MANZANA 500ml, HOSPITAL Y BANCO DE SANGRE Bajo estricta prescripción nutriológica. Por su alto costo y difícil control, debe utilizarse solamente en las áreas indicadasPara donadores de sangre: Botella PET o envase tetra brik de 500 ml.</t>
  </si>
  <si>
    <t>BEBIDA PASTEURIZADA LISTA PARA BEBER DE MANZANA 250ml,  HOSPITAL Y BANCO DE SANGRE Bajo estricta prescripción nutriológica. Por su alto costo y difícil control, debe utilizarse solamente en las áreas indicadasPara donadores de sangre: Botella PET o envase tetra brik de 250 ml.</t>
  </si>
  <si>
    <t xml:space="preserve">CHAYOTE A GRANEL, 1000 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</si>
</sst>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Red]\(&quot;$&quot;#,##0.00\);&quot;-&quot;"/>
  </numFmts>
  <fonts count="28">
    <font>
      <sz val="11"/>
      <color theme="1"/>
      <name val="Calibri"/>
      <family val="2"/>
      <scheme val="minor"/>
    </font>
    <font>
      <sz val="10"/>
      <name val="Arial"/>
      <family val="2"/>
    </font>
    <font>
      <b/>
      <sz val="8"/>
      <color rgb="FFFFFFFF"/>
      <name val="Arial"/>
      <family val="2"/>
    </font>
    <font>
      <sz val="11"/>
      <color theme="1"/>
      <name val="Arial"/>
      <family val="2"/>
    </font>
    <font>
      <b/>
      <sz val="11"/>
      <color theme="1"/>
      <name val="Arial"/>
      <family val="2"/>
    </font>
    <font>
      <b/>
      <sz val="9"/>
      <color theme="1"/>
      <name val="Arial"/>
      <family val="2"/>
    </font>
    <font>
      <b/>
      <sz val="14"/>
      <color theme="1"/>
      <name val="Arial"/>
      <family val="2"/>
    </font>
    <font>
      <sz val="8"/>
      <color theme="1"/>
      <name val="Arial"/>
      <family val="2"/>
    </font>
    <font>
      <b/>
      <sz val="8"/>
      <color theme="1"/>
      <name val="Arial"/>
      <family val="2"/>
    </font>
    <font>
      <sz val="8"/>
      <color rgb="FF000000"/>
      <name val="Arial"/>
      <family val="2"/>
    </font>
    <font>
      <sz val="8"/>
      <name val="Arial"/>
      <family val="2"/>
    </font>
    <font>
      <sz val="8"/>
      <color rgb="FFFF0000"/>
      <name val="Arial"/>
      <family val="2"/>
    </font>
    <font>
      <b/>
      <sz val="6"/>
      <color theme="1"/>
      <name val="Arial"/>
      <family val="2"/>
    </font>
    <font>
      <sz val="6"/>
      <color theme="1"/>
      <name val="Arial"/>
      <family val="2"/>
    </font>
    <font>
      <b/>
      <sz val="7"/>
      <color theme="1"/>
      <name val="Arial"/>
      <family val="2"/>
    </font>
    <font>
      <sz val="7"/>
      <color theme="1"/>
      <name val="Arial"/>
      <family val="2"/>
    </font>
    <font>
      <sz val="7"/>
      <name val="Arial"/>
      <family val="2"/>
    </font>
    <font>
      <b/>
      <sz val="7"/>
      <name val="Arial"/>
      <family val="2"/>
    </font>
    <font>
      <b/>
      <sz val="10"/>
      <color theme="1"/>
      <name val="Arial"/>
      <family val="2"/>
    </font>
    <font>
      <b/>
      <sz val="5"/>
      <color theme="1"/>
      <name val="Arial"/>
      <family val="2"/>
    </font>
    <font>
      <sz val="5"/>
      <color theme="1"/>
      <name val="Arial"/>
      <family val="2"/>
    </font>
    <font>
      <b/>
      <sz val="9"/>
      <color theme="0"/>
      <name val="Arial"/>
      <family val="2"/>
    </font>
    <font>
      <b/>
      <sz val="5"/>
      <color theme="0"/>
      <name val="Arial"/>
      <family val="2"/>
    </font>
    <font>
      <b/>
      <sz val="7"/>
      <color theme="0"/>
      <name val="Arial"/>
      <family val="2"/>
    </font>
    <font>
      <b/>
      <sz val="8"/>
      <color theme="0"/>
      <name val="Arial"/>
      <family val="2"/>
    </font>
    <font>
      <sz val="11"/>
      <color theme="0"/>
      <name val="Calibri"/>
      <family val="2"/>
      <scheme val="minor"/>
    </font>
    <font>
      <b/>
      <sz val="9"/>
      <name val="Arial"/>
      <family val="2"/>
    </font>
    <font>
      <b/>
      <sz val="6"/>
      <color theme="0"/>
      <name val="Arial"/>
      <family val="2"/>
    </font>
  </fonts>
  <fills count="32">
    <fill>
      <patternFill patternType="none"/>
    </fill>
    <fill>
      <patternFill patternType="gray125"/>
    </fill>
    <fill>
      <patternFill patternType="solid">
        <fgColor rgb="FF92D050"/>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FFFFFF"/>
        <bgColor indexed="64"/>
      </patternFill>
    </fill>
    <fill>
      <patternFill patternType="solid">
        <fgColor rgb="FFFFE4E6"/>
        <bgColor indexed="64"/>
      </patternFill>
    </fill>
    <fill>
      <patternFill patternType="solid">
        <fgColor rgb="FFE11D48"/>
        <bgColor indexed="64"/>
      </patternFill>
    </fill>
    <fill>
      <patternFill patternType="solid">
        <fgColor rgb="FFDBEAFE"/>
        <bgColor indexed="64"/>
      </patternFill>
    </fill>
    <fill>
      <patternFill patternType="solid">
        <fgColor rgb="FF3B82F6"/>
        <bgColor indexed="64"/>
      </patternFill>
    </fill>
    <fill>
      <patternFill patternType="solid">
        <fgColor rgb="FFDCFCE7"/>
        <bgColor indexed="64"/>
      </patternFill>
    </fill>
    <fill>
      <patternFill patternType="solid">
        <fgColor rgb="FF22C55E"/>
        <bgColor indexed="64"/>
      </patternFill>
    </fill>
    <fill>
      <patternFill patternType="solid">
        <fgColor rgb="FFFEF9C3"/>
        <bgColor indexed="64"/>
      </patternFill>
    </fill>
    <fill>
      <patternFill patternType="solid">
        <fgColor rgb="FFEAB308"/>
        <bgColor indexed="64"/>
      </patternFill>
    </fill>
    <fill>
      <patternFill patternType="solid">
        <fgColor rgb="FFFFEDD5"/>
        <bgColor indexed="64"/>
      </patternFill>
    </fill>
    <fill>
      <patternFill patternType="solid">
        <fgColor rgb="FFFEF3C7"/>
        <bgColor indexed="64"/>
      </patternFill>
    </fill>
    <fill>
      <patternFill patternType="solid">
        <fgColor rgb="FFCA8A04"/>
        <bgColor indexed="64"/>
      </patternFill>
    </fill>
    <fill>
      <patternFill patternType="solid">
        <fgColor rgb="FFFB923C"/>
        <bgColor indexed="64"/>
      </patternFill>
    </fill>
    <fill>
      <patternFill patternType="solid">
        <fgColor rgb="FFFACC15"/>
        <bgColor indexed="64"/>
      </patternFill>
    </fill>
    <fill>
      <patternFill patternType="solid">
        <fgColor rgb="FF16A34A"/>
        <bgColor indexed="64"/>
      </patternFill>
    </fill>
    <fill>
      <patternFill patternType="solid">
        <fgColor rgb="FFCFFAFE"/>
        <bgColor indexed="64"/>
      </patternFill>
    </fill>
    <fill>
      <patternFill patternType="solid">
        <fgColor rgb="FF06B6D4"/>
        <bgColor indexed="64"/>
      </patternFill>
    </fill>
    <fill>
      <patternFill patternType="solid">
        <fgColor rgb="FF1ABC9C"/>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75A9"/>
        <bgColor indexed="64"/>
      </patternFill>
    </fill>
    <fill>
      <patternFill patternType="solid">
        <fgColor rgb="FFFFD579"/>
        <bgColor indexed="64"/>
      </patternFill>
    </fill>
    <fill>
      <patternFill patternType="solid">
        <fgColor theme="1" tint="0.499984740745262"/>
        <bgColor indexed="64"/>
      </patternFill>
    </fill>
    <fill>
      <patternFill patternType="solid">
        <fgColor theme="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top style="medium">
        <color indexed="64"/>
      </top>
      <bottom style="medium">
        <color indexed="64"/>
      </bottom>
      <diagonal/>
    </border>
    <border>
      <left/>
      <right style="hair">
        <color indexed="64"/>
      </right>
      <top style="medium">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s>
  <cellStyleXfs count="2">
    <xf numFmtId="0" fontId="0" fillId="0" borderId="0"/>
    <xf numFmtId="0" fontId="1" fillId="0" borderId="0"/>
  </cellStyleXfs>
  <cellXfs count="225">
    <xf numFmtId="0" fontId="0" fillId="0" borderId="0" xfId="0"/>
    <xf numFmtId="0" fontId="3" fillId="0" borderId="0" xfId="0" applyFont="1" applyAlignment="1">
      <alignment horizontal="center" vertical="center" wrapText="1"/>
    </xf>
    <xf numFmtId="0" fontId="3" fillId="26" borderId="0" xfId="0" applyFont="1" applyFill="1" applyAlignment="1">
      <alignment horizontal="center" vertical="center" wrapText="1"/>
    </xf>
    <xf numFmtId="0" fontId="3" fillId="2" borderId="0" xfId="0" applyFont="1" applyFill="1" applyAlignment="1">
      <alignment horizontal="center" vertical="center" wrapText="1"/>
    </xf>
    <xf numFmtId="0" fontId="3" fillId="7"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3" fillId="4" borderId="0" xfId="0" applyFont="1" applyFill="1" applyAlignment="1">
      <alignment horizontal="center" vertical="center" wrapText="1"/>
    </xf>
    <xf numFmtId="0" fontId="3" fillId="3" borderId="0" xfId="0" applyFont="1" applyFill="1" applyAlignment="1">
      <alignment horizontal="center" vertical="center" wrapText="1"/>
    </xf>
    <xf numFmtId="0" fontId="3" fillId="0" borderId="1" xfId="0" applyFont="1" applyBorder="1" applyAlignment="1">
      <alignment horizontal="center" vertical="center" wrapText="1"/>
    </xf>
    <xf numFmtId="164" fontId="3" fillId="0" borderId="0" xfId="0" applyNumberFormat="1" applyFont="1" applyAlignment="1">
      <alignment horizontal="center" vertical="center" wrapText="1"/>
    </xf>
    <xf numFmtId="0" fontId="6" fillId="0" borderId="0" xfId="0" applyFont="1" applyAlignment="1">
      <alignment horizontal="center" vertical="center" wrapText="1"/>
    </xf>
    <xf numFmtId="0" fontId="3" fillId="0" borderId="2" xfId="0" applyFont="1" applyBorder="1" applyAlignment="1">
      <alignment horizontal="center" vertical="center" wrapText="1"/>
    </xf>
    <xf numFmtId="0" fontId="7" fillId="0" borderId="0" xfId="0"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2" fillId="10" borderId="6" xfId="0" applyFont="1" applyFill="1" applyBorder="1" applyAlignment="1">
      <alignment horizontal="center" vertical="center" wrapText="1"/>
    </xf>
    <xf numFmtId="49" fontId="15" fillId="9" borderId="6" xfId="0" applyNumberFormat="1" applyFont="1" applyFill="1" applyBorder="1" applyAlignment="1">
      <alignment horizontal="center" vertical="center" wrapText="1"/>
    </xf>
    <xf numFmtId="49" fontId="15" fillId="9" borderId="6" xfId="0" applyNumberFormat="1" applyFont="1" applyFill="1" applyBorder="1" applyAlignment="1">
      <alignment horizontal="left" vertical="center" wrapText="1"/>
    </xf>
    <xf numFmtId="1" fontId="15" fillId="9" borderId="6" xfId="0" applyNumberFormat="1" applyFont="1" applyFill="1" applyBorder="1" applyAlignment="1">
      <alignment horizontal="left" vertical="top" wrapText="1"/>
    </xf>
    <xf numFmtId="0" fontId="7" fillId="9" borderId="6"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 borderId="6" xfId="0" applyFont="1" applyFill="1" applyBorder="1" applyAlignment="1">
      <alignment horizontal="center" vertical="center" wrapText="1"/>
    </xf>
    <xf numFmtId="1" fontId="7" fillId="7" borderId="6" xfId="0" applyNumberFormat="1" applyFont="1" applyFill="1" applyBorder="1" applyAlignment="1">
      <alignment horizontal="center" vertical="center" wrapText="1"/>
    </xf>
    <xf numFmtId="0" fontId="8" fillId="6" borderId="6" xfId="0" applyFont="1" applyFill="1" applyBorder="1" applyAlignment="1">
      <alignment horizontal="center" vertical="center" wrapText="1"/>
    </xf>
    <xf numFmtId="1" fontId="8" fillId="4" borderId="6" xfId="0" applyNumberFormat="1" applyFont="1" applyFill="1" applyBorder="1" applyAlignment="1">
      <alignment horizontal="center" vertical="center" wrapText="1"/>
    </xf>
    <xf numFmtId="1" fontId="7" fillId="9" borderId="6" xfId="0" applyNumberFormat="1" applyFont="1" applyFill="1" applyBorder="1" applyAlignment="1">
      <alignment horizontal="center" vertical="center" wrapText="1"/>
    </xf>
    <xf numFmtId="165" fontId="7" fillId="9" borderId="6" xfId="0" applyNumberFormat="1" applyFont="1" applyFill="1" applyBorder="1" applyAlignment="1">
      <alignment horizontal="center" vertical="center" wrapText="1"/>
    </xf>
    <xf numFmtId="49" fontId="15" fillId="8" borderId="6" xfId="0" applyNumberFormat="1" applyFont="1" applyFill="1" applyBorder="1" applyAlignment="1">
      <alignment horizontal="center" vertical="center" wrapText="1"/>
    </xf>
    <xf numFmtId="49" fontId="15" fillId="8" borderId="6" xfId="0" applyNumberFormat="1" applyFont="1" applyFill="1" applyBorder="1" applyAlignment="1">
      <alignment horizontal="left" vertical="center" wrapText="1"/>
    </xf>
    <xf numFmtId="1" fontId="15" fillId="8" borderId="6" xfId="0" applyNumberFormat="1" applyFont="1" applyFill="1" applyBorder="1" applyAlignment="1">
      <alignment horizontal="left" vertical="top" wrapText="1"/>
    </xf>
    <xf numFmtId="0" fontId="7" fillId="8" borderId="6" xfId="0" applyFont="1" applyFill="1" applyBorder="1" applyAlignment="1">
      <alignment horizontal="center" vertical="center" wrapText="1"/>
    </xf>
    <xf numFmtId="1" fontId="7" fillId="8" borderId="6" xfId="0" applyNumberFormat="1" applyFont="1" applyFill="1" applyBorder="1" applyAlignment="1">
      <alignment horizontal="center" vertical="center" wrapText="1"/>
    </xf>
    <xf numFmtId="165" fontId="7" fillId="8" borderId="6" xfId="0" applyNumberFormat="1" applyFont="1" applyFill="1" applyBorder="1" applyAlignment="1">
      <alignment horizontal="center" vertical="center" wrapText="1"/>
    </xf>
    <xf numFmtId="0" fontId="2" fillId="12" borderId="6" xfId="0" applyFont="1" applyFill="1" applyBorder="1" applyAlignment="1">
      <alignment horizontal="center" vertical="center" wrapText="1"/>
    </xf>
    <xf numFmtId="49" fontId="15" fillId="11" borderId="6" xfId="0" applyNumberFormat="1" applyFont="1" applyFill="1" applyBorder="1" applyAlignment="1">
      <alignment horizontal="center" vertical="center" wrapText="1"/>
    </xf>
    <xf numFmtId="49" fontId="15" fillId="11" borderId="6" xfId="0" applyNumberFormat="1" applyFont="1" applyFill="1" applyBorder="1" applyAlignment="1">
      <alignment horizontal="left" vertical="center" wrapText="1"/>
    </xf>
    <xf numFmtId="1" fontId="15" fillId="11" borderId="6" xfId="0" applyNumberFormat="1" applyFont="1" applyFill="1" applyBorder="1" applyAlignment="1">
      <alignment horizontal="left" vertical="top" wrapText="1"/>
    </xf>
    <xf numFmtId="0" fontId="7" fillId="11" borderId="6" xfId="0" applyFont="1" applyFill="1" applyBorder="1" applyAlignment="1">
      <alignment horizontal="center" vertical="center" wrapText="1"/>
    </xf>
    <xf numFmtId="1" fontId="7" fillId="26" borderId="6" xfId="0" applyNumberFormat="1" applyFont="1" applyFill="1" applyBorder="1" applyAlignment="1">
      <alignment horizontal="center" vertical="center" wrapText="1"/>
    </xf>
    <xf numFmtId="1" fontId="7" fillId="2" borderId="6" xfId="0" applyNumberFormat="1" applyFont="1" applyFill="1" applyBorder="1" applyAlignment="1">
      <alignment horizontal="center" vertical="center" wrapText="1"/>
    </xf>
    <xf numFmtId="1" fontId="8" fillId="6" borderId="6" xfId="0" applyNumberFormat="1" applyFont="1" applyFill="1" applyBorder="1" applyAlignment="1">
      <alignment horizontal="center" vertical="center" wrapText="1"/>
    </xf>
    <xf numFmtId="1" fontId="7" fillId="11" borderId="6" xfId="0" applyNumberFormat="1" applyFont="1" applyFill="1" applyBorder="1" applyAlignment="1">
      <alignment horizontal="center" vertical="center" wrapText="1"/>
    </xf>
    <xf numFmtId="2" fontId="7" fillId="11" borderId="6" xfId="0" applyNumberFormat="1" applyFont="1" applyFill="1" applyBorder="1" applyAlignment="1">
      <alignment horizontal="center" vertical="center" wrapText="1"/>
    </xf>
    <xf numFmtId="165" fontId="7" fillId="11" borderId="6" xfId="0" applyNumberFormat="1" applyFont="1" applyFill="1" applyBorder="1" applyAlignment="1">
      <alignment horizontal="center" vertical="center" wrapText="1"/>
    </xf>
    <xf numFmtId="2" fontId="7" fillId="26" borderId="6" xfId="0" applyNumberFormat="1" applyFont="1" applyFill="1" applyBorder="1" applyAlignment="1">
      <alignment horizontal="center" vertical="center" wrapText="1"/>
    </xf>
    <xf numFmtId="0" fontId="9" fillId="8" borderId="6" xfId="0" applyFont="1" applyFill="1" applyBorder="1" applyAlignment="1">
      <alignment horizontal="center" vertical="center" wrapText="1"/>
    </xf>
    <xf numFmtId="0" fontId="2" fillId="14" borderId="6" xfId="0" applyFont="1" applyFill="1" applyBorder="1" applyAlignment="1">
      <alignment horizontal="center" vertical="center" wrapText="1"/>
    </xf>
    <xf numFmtId="49" fontId="15" fillId="13" borderId="6" xfId="0" applyNumberFormat="1" applyFont="1" applyFill="1" applyBorder="1" applyAlignment="1">
      <alignment horizontal="center" vertical="center" wrapText="1"/>
    </xf>
    <xf numFmtId="49" fontId="15" fillId="13" borderId="6" xfId="0" applyNumberFormat="1" applyFont="1" applyFill="1" applyBorder="1" applyAlignment="1">
      <alignment horizontal="left" vertical="center" wrapText="1"/>
    </xf>
    <xf numFmtId="1" fontId="15" fillId="13" borderId="6" xfId="0" applyNumberFormat="1" applyFont="1" applyFill="1" applyBorder="1" applyAlignment="1">
      <alignment horizontal="left" vertical="top" wrapText="1"/>
    </xf>
    <xf numFmtId="0" fontId="7" fillId="13"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1" fontId="7" fillId="13" borderId="6" xfId="0" applyNumberFormat="1" applyFont="1" applyFill="1" applyBorder="1" applyAlignment="1">
      <alignment horizontal="center" vertical="center" wrapText="1"/>
    </xf>
    <xf numFmtId="165" fontId="7" fillId="13" borderId="6" xfId="0" applyNumberFormat="1" applyFont="1" applyFill="1" applyBorder="1" applyAlignment="1">
      <alignment horizontal="center" vertical="center" wrapText="1"/>
    </xf>
    <xf numFmtId="49" fontId="16" fillId="8" borderId="6" xfId="0" applyNumberFormat="1" applyFont="1" applyFill="1" applyBorder="1" applyAlignment="1">
      <alignment horizontal="center" vertical="center" wrapText="1"/>
    </xf>
    <xf numFmtId="49" fontId="16" fillId="8" borderId="6" xfId="0" applyNumberFormat="1" applyFont="1" applyFill="1" applyBorder="1" applyAlignment="1">
      <alignment horizontal="left" vertical="center" wrapText="1"/>
    </xf>
    <xf numFmtId="1" fontId="16" fillId="8" borderId="6" xfId="0" applyNumberFormat="1" applyFont="1" applyFill="1" applyBorder="1" applyAlignment="1">
      <alignment horizontal="left" vertical="top" wrapText="1"/>
    </xf>
    <xf numFmtId="49" fontId="16" fillId="13" borderId="6" xfId="0" applyNumberFormat="1" applyFont="1" applyFill="1" applyBorder="1" applyAlignment="1">
      <alignment horizontal="center" vertical="center" wrapText="1"/>
    </xf>
    <xf numFmtId="49" fontId="16" fillId="13" borderId="6" xfId="0" applyNumberFormat="1" applyFont="1" applyFill="1" applyBorder="1" applyAlignment="1">
      <alignment horizontal="left" vertical="center" wrapText="1"/>
    </xf>
    <xf numFmtId="0" fontId="2" fillId="16" borderId="6" xfId="0" applyFont="1" applyFill="1" applyBorder="1" applyAlignment="1">
      <alignment horizontal="center" vertical="center" wrapText="1"/>
    </xf>
    <xf numFmtId="49" fontId="15" fillId="15" borderId="6" xfId="0" applyNumberFormat="1" applyFont="1" applyFill="1" applyBorder="1" applyAlignment="1">
      <alignment horizontal="center" vertical="center" wrapText="1"/>
    </xf>
    <xf numFmtId="49" fontId="15" fillId="15" borderId="6" xfId="0" applyNumberFormat="1" applyFont="1" applyFill="1" applyBorder="1" applyAlignment="1">
      <alignment horizontal="left" vertical="center" wrapText="1"/>
    </xf>
    <xf numFmtId="1" fontId="15" fillId="15" borderId="6" xfId="0" applyNumberFormat="1" applyFont="1" applyFill="1" applyBorder="1" applyAlignment="1">
      <alignment horizontal="left" vertical="top" wrapText="1"/>
    </xf>
    <xf numFmtId="0" fontId="7" fillId="15" borderId="6" xfId="0" applyFont="1" applyFill="1" applyBorder="1" applyAlignment="1">
      <alignment horizontal="center" vertical="center" wrapText="1"/>
    </xf>
    <xf numFmtId="1" fontId="7" fillId="6" borderId="6"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1" fontId="7" fillId="15" borderId="6" xfId="0" applyNumberFormat="1" applyFont="1" applyFill="1" applyBorder="1" applyAlignment="1">
      <alignment horizontal="center" vertical="center" wrapText="1"/>
    </xf>
    <xf numFmtId="165" fontId="7" fillId="15" borderId="6" xfId="0" applyNumberFormat="1" applyFont="1" applyFill="1" applyBorder="1" applyAlignment="1">
      <alignment horizontal="center" vertical="center" wrapText="1"/>
    </xf>
    <xf numFmtId="0" fontId="7" fillId="6" borderId="6" xfId="0" applyFont="1" applyFill="1" applyBorder="1" applyAlignment="1">
      <alignment horizontal="center" vertical="center" wrapText="1"/>
    </xf>
    <xf numFmtId="49" fontId="16" fillId="15" borderId="6" xfId="0" applyNumberFormat="1" applyFont="1" applyFill="1" applyBorder="1" applyAlignment="1">
      <alignment horizontal="center" vertical="center" wrapText="1"/>
    </xf>
    <xf numFmtId="49" fontId="16" fillId="15" borderId="6" xfId="0" applyNumberFormat="1" applyFont="1" applyFill="1" applyBorder="1" applyAlignment="1">
      <alignment horizontal="left" vertical="center" wrapText="1"/>
    </xf>
    <xf numFmtId="1" fontId="16" fillId="15" borderId="6" xfId="0" applyNumberFormat="1" applyFont="1" applyFill="1" applyBorder="1" applyAlignment="1">
      <alignment horizontal="left" vertical="top" wrapText="1"/>
    </xf>
    <xf numFmtId="0" fontId="2" fillId="19" borderId="6" xfId="0" applyFont="1" applyFill="1" applyBorder="1" applyAlignment="1">
      <alignment horizontal="center" vertical="center" wrapText="1"/>
    </xf>
    <xf numFmtId="49" fontId="15" fillId="18" borderId="6" xfId="0" applyNumberFormat="1" applyFont="1" applyFill="1" applyBorder="1" applyAlignment="1">
      <alignment horizontal="center" vertical="center" wrapText="1"/>
    </xf>
    <xf numFmtId="49" fontId="15" fillId="18" borderId="6" xfId="0" applyNumberFormat="1" applyFont="1" applyFill="1" applyBorder="1" applyAlignment="1">
      <alignment horizontal="left" vertical="center" wrapText="1"/>
    </xf>
    <xf numFmtId="1" fontId="15" fillId="18" borderId="6" xfId="0" applyNumberFormat="1" applyFont="1" applyFill="1" applyBorder="1" applyAlignment="1">
      <alignment horizontal="left" vertical="top" wrapText="1"/>
    </xf>
    <xf numFmtId="0" fontId="7" fillId="18" borderId="6" xfId="0" applyFont="1" applyFill="1" applyBorder="1" applyAlignment="1">
      <alignment horizontal="center" vertical="center" wrapText="1"/>
    </xf>
    <xf numFmtId="1" fontId="7" fillId="18" borderId="6" xfId="0" applyNumberFormat="1" applyFont="1" applyFill="1" applyBorder="1" applyAlignment="1">
      <alignment horizontal="center" vertical="center" wrapText="1"/>
    </xf>
    <xf numFmtId="165" fontId="7" fillId="18" borderId="6" xfId="0" applyNumberFormat="1" applyFont="1" applyFill="1" applyBorder="1" applyAlignment="1">
      <alignment horizontal="center" vertical="center" wrapText="1"/>
    </xf>
    <xf numFmtId="1" fontId="10" fillId="7" borderId="6" xfId="0" applyNumberFormat="1" applyFont="1" applyFill="1" applyBorder="1" applyAlignment="1">
      <alignment horizontal="center" vertical="center" wrapText="1"/>
    </xf>
    <xf numFmtId="0" fontId="2" fillId="20" borderId="6" xfId="0" applyFont="1" applyFill="1" applyBorder="1" applyAlignment="1">
      <alignment horizontal="center" vertical="center" wrapText="1"/>
    </xf>
    <xf numFmtId="49" fontId="15" fillId="17" borderId="6" xfId="0" applyNumberFormat="1" applyFont="1" applyFill="1" applyBorder="1" applyAlignment="1">
      <alignment horizontal="center" vertical="center" wrapText="1"/>
    </xf>
    <xf numFmtId="49" fontId="15" fillId="17" borderId="6" xfId="0" applyNumberFormat="1" applyFont="1" applyFill="1" applyBorder="1" applyAlignment="1">
      <alignment horizontal="left" vertical="center" wrapText="1"/>
    </xf>
    <xf numFmtId="1" fontId="15" fillId="17" borderId="6" xfId="0" applyNumberFormat="1" applyFont="1" applyFill="1" applyBorder="1" applyAlignment="1">
      <alignment horizontal="left" vertical="top" wrapText="1"/>
    </xf>
    <xf numFmtId="0" fontId="7" fillId="17" borderId="6" xfId="0" applyFont="1" applyFill="1" applyBorder="1" applyAlignment="1">
      <alignment horizontal="center" vertical="center" wrapText="1"/>
    </xf>
    <xf numFmtId="3" fontId="7" fillId="26" borderId="6" xfId="0" applyNumberFormat="1" applyFont="1" applyFill="1" applyBorder="1" applyAlignment="1">
      <alignment horizontal="center" vertical="center" wrapText="1"/>
    </xf>
    <xf numFmtId="3" fontId="7" fillId="2" borderId="6" xfId="0" applyNumberFormat="1" applyFont="1" applyFill="1" applyBorder="1" applyAlignment="1">
      <alignment horizontal="center" vertical="center" wrapText="1"/>
    </xf>
    <xf numFmtId="3" fontId="7" fillId="17" borderId="6" xfId="0" applyNumberFormat="1" applyFont="1" applyFill="1" applyBorder="1" applyAlignment="1">
      <alignment horizontal="center" vertical="center" wrapText="1"/>
    </xf>
    <xf numFmtId="165" fontId="7" fillId="17" borderId="6" xfId="0" applyNumberFormat="1" applyFont="1" applyFill="1" applyBorder="1" applyAlignment="1">
      <alignment horizontal="center" vertical="center" wrapText="1"/>
    </xf>
    <xf numFmtId="3" fontId="7" fillId="8" borderId="6" xfId="0" applyNumberFormat="1" applyFont="1" applyFill="1" applyBorder="1" applyAlignment="1">
      <alignment horizontal="center" vertical="center" wrapText="1"/>
    </xf>
    <xf numFmtId="1" fontId="11" fillId="7" borderId="6" xfId="0" applyNumberFormat="1" applyFont="1" applyFill="1" applyBorder="1" applyAlignment="1">
      <alignment horizontal="center" vertical="center" wrapText="1"/>
    </xf>
    <xf numFmtId="1" fontId="7" fillId="17" borderId="6" xfId="0" applyNumberFormat="1" applyFont="1" applyFill="1" applyBorder="1" applyAlignment="1">
      <alignment horizontal="center" vertical="center" wrapText="1"/>
    </xf>
    <xf numFmtId="0" fontId="9" fillId="17" borderId="6" xfId="0" applyFont="1" applyFill="1" applyBorder="1" applyAlignment="1">
      <alignment horizontal="center" vertical="center" wrapText="1"/>
    </xf>
    <xf numFmtId="0" fontId="2" fillId="21" borderId="6" xfId="0" applyFont="1" applyFill="1" applyBorder="1" applyAlignment="1">
      <alignment horizontal="center" vertical="center" wrapText="1"/>
    </xf>
    <xf numFmtId="0" fontId="2" fillId="22"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49" fontId="7" fillId="13" borderId="6" xfId="0" applyNumberFormat="1" applyFont="1" applyFill="1" applyBorder="1" applyAlignment="1">
      <alignment horizontal="center" vertical="center" wrapText="1"/>
    </xf>
    <xf numFmtId="0" fontId="2" fillId="24" borderId="6" xfId="0" applyFont="1" applyFill="1" applyBorder="1" applyAlignment="1">
      <alignment horizontal="center" vertical="center" wrapText="1"/>
    </xf>
    <xf numFmtId="49" fontId="15" fillId="23" borderId="6" xfId="0" applyNumberFormat="1" applyFont="1" applyFill="1" applyBorder="1" applyAlignment="1">
      <alignment horizontal="center" vertical="center" wrapText="1"/>
    </xf>
    <xf numFmtId="49" fontId="15" fillId="23" borderId="6" xfId="0" applyNumberFormat="1" applyFont="1" applyFill="1" applyBorder="1" applyAlignment="1">
      <alignment horizontal="left" vertical="center" wrapText="1"/>
    </xf>
    <xf numFmtId="1" fontId="15" fillId="23" borderId="6" xfId="0" applyNumberFormat="1" applyFont="1" applyFill="1" applyBorder="1" applyAlignment="1">
      <alignment horizontal="left" vertical="top" wrapText="1"/>
    </xf>
    <xf numFmtId="0" fontId="7" fillId="23" borderId="6" xfId="0" applyFont="1" applyFill="1" applyBorder="1" applyAlignment="1">
      <alignment horizontal="center" vertical="center" wrapText="1"/>
    </xf>
    <xf numFmtId="1" fontId="7" fillId="23" borderId="6" xfId="0" applyNumberFormat="1" applyFont="1" applyFill="1" applyBorder="1" applyAlignment="1">
      <alignment horizontal="center" vertical="center" wrapText="1"/>
    </xf>
    <xf numFmtId="165" fontId="7" fillId="23" borderId="6" xfId="0" applyNumberFormat="1" applyFont="1" applyFill="1" applyBorder="1" applyAlignment="1">
      <alignment horizontal="center" vertical="center" wrapText="1"/>
    </xf>
    <xf numFmtId="164" fontId="8" fillId="8" borderId="6" xfId="0" applyNumberFormat="1" applyFont="1" applyFill="1" applyBorder="1" applyAlignment="1">
      <alignment horizontal="center" vertical="center" wrapText="1"/>
    </xf>
    <xf numFmtId="164" fontId="8" fillId="13" borderId="6" xfId="0" applyNumberFormat="1" applyFont="1" applyFill="1" applyBorder="1" applyAlignment="1">
      <alignment horizontal="center" vertical="center" wrapText="1"/>
    </xf>
    <xf numFmtId="164" fontId="8" fillId="15" borderId="6" xfId="0" applyNumberFormat="1" applyFont="1" applyFill="1" applyBorder="1" applyAlignment="1">
      <alignment horizontal="center" vertical="center" wrapText="1"/>
    </xf>
    <xf numFmtId="164" fontId="8" fillId="17" borderId="6" xfId="0" applyNumberFormat="1" applyFont="1" applyFill="1" applyBorder="1" applyAlignment="1">
      <alignment horizontal="center" vertical="center" wrapText="1"/>
    </xf>
    <xf numFmtId="164" fontId="5" fillId="9" borderId="6" xfId="0" applyNumberFormat="1" applyFont="1" applyFill="1" applyBorder="1" applyAlignment="1">
      <alignment horizontal="center" vertical="center" wrapText="1"/>
    </xf>
    <xf numFmtId="164" fontId="5" fillId="8" borderId="6" xfId="0" applyNumberFormat="1" applyFont="1" applyFill="1" applyBorder="1" applyAlignment="1">
      <alignment horizontal="center" vertical="center" wrapText="1"/>
    </xf>
    <xf numFmtId="164" fontId="5" fillId="11" borderId="6" xfId="0" applyNumberFormat="1" applyFont="1" applyFill="1" applyBorder="1" applyAlignment="1">
      <alignment horizontal="center" vertical="center" wrapText="1"/>
    </xf>
    <xf numFmtId="164" fontId="5" fillId="13" borderId="6" xfId="0" applyNumberFormat="1" applyFont="1" applyFill="1" applyBorder="1" applyAlignment="1">
      <alignment horizontal="center" vertical="center" wrapText="1"/>
    </xf>
    <xf numFmtId="164" fontId="5" fillId="15" borderId="6" xfId="0" applyNumberFormat="1" applyFont="1" applyFill="1" applyBorder="1" applyAlignment="1">
      <alignment horizontal="center" vertical="center" wrapText="1"/>
    </xf>
    <xf numFmtId="164" fontId="5" fillId="18" borderId="6" xfId="0" applyNumberFormat="1" applyFont="1" applyFill="1" applyBorder="1" applyAlignment="1">
      <alignment horizontal="center" vertical="center" wrapText="1"/>
    </xf>
    <xf numFmtId="164" fontId="5" fillId="17" borderId="6" xfId="0" applyNumberFormat="1" applyFont="1" applyFill="1" applyBorder="1" applyAlignment="1">
      <alignment horizontal="center" vertical="center" wrapText="1"/>
    </xf>
    <xf numFmtId="164" fontId="5" fillId="23" borderId="6" xfId="0" applyNumberFormat="1" applyFont="1" applyFill="1" applyBorder="1" applyAlignment="1">
      <alignment horizontal="center" vertical="center" wrapText="1"/>
    </xf>
    <xf numFmtId="164" fontId="4" fillId="0" borderId="0" xfId="0" applyNumberFormat="1" applyFont="1" applyAlignment="1">
      <alignment horizontal="center" vertical="center" wrapText="1"/>
    </xf>
    <xf numFmtId="164" fontId="4" fillId="0" borderId="2"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49" fontId="15" fillId="28" borderId="6" xfId="0" applyNumberFormat="1" applyFont="1" applyFill="1" applyBorder="1" applyAlignment="1">
      <alignment horizontal="center" vertical="center" wrapText="1"/>
    </xf>
    <xf numFmtId="49" fontId="15" fillId="0" borderId="6" xfId="0" applyNumberFormat="1" applyFont="1" applyBorder="1" applyAlignment="1">
      <alignment horizontal="center" vertical="center" wrapText="1"/>
    </xf>
    <xf numFmtId="0" fontId="8" fillId="0" borderId="0" xfId="0" applyFont="1" applyAlignment="1">
      <alignment horizontal="center" vertical="center" wrapText="1"/>
    </xf>
    <xf numFmtId="0" fontId="20" fillId="9" borderId="6" xfId="0" applyFont="1" applyFill="1" applyBorder="1" applyAlignment="1">
      <alignment horizontal="center" vertical="center" wrapText="1"/>
    </xf>
    <xf numFmtId="0" fontId="20" fillId="8" borderId="6" xfId="0" applyFont="1" applyFill="1" applyBorder="1" applyAlignment="1">
      <alignment horizontal="center" vertical="center" wrapText="1"/>
    </xf>
    <xf numFmtId="0" fontId="20" fillId="11" borderId="6"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5" borderId="6" xfId="0" applyFont="1" applyFill="1" applyBorder="1" applyAlignment="1">
      <alignment horizontal="center" vertical="center" wrapText="1"/>
    </xf>
    <xf numFmtId="0" fontId="20" fillId="18" borderId="6" xfId="0" applyFont="1" applyFill="1" applyBorder="1" applyAlignment="1">
      <alignment horizontal="center" vertical="center" wrapText="1"/>
    </xf>
    <xf numFmtId="0" fontId="20" fillId="17" borderId="6" xfId="0" applyFont="1" applyFill="1" applyBorder="1" applyAlignment="1">
      <alignment horizontal="center" vertical="center" wrapText="1"/>
    </xf>
    <xf numFmtId="0" fontId="20" fillId="23" borderId="6" xfId="0" applyFont="1" applyFill="1" applyBorder="1" applyAlignment="1">
      <alignment horizontal="center" vertical="center" wrapText="1"/>
    </xf>
    <xf numFmtId="0" fontId="20" fillId="0" borderId="0" xfId="0" applyFont="1" applyAlignment="1">
      <alignment horizontal="center" vertical="center" wrapText="1"/>
    </xf>
    <xf numFmtId="49" fontId="15" fillId="0" borderId="6" xfId="0" applyNumberFormat="1" applyFont="1" applyBorder="1" applyAlignment="1">
      <alignment horizontal="left" vertical="center" wrapText="1"/>
    </xf>
    <xf numFmtId="0" fontId="2" fillId="24" borderId="12" xfId="0" applyFont="1" applyFill="1" applyBorder="1" applyAlignment="1">
      <alignment horizontal="center" vertical="center" wrapText="1"/>
    </xf>
    <xf numFmtId="0" fontId="20" fillId="23" borderId="12" xfId="0" applyFont="1" applyFill="1" applyBorder="1" applyAlignment="1">
      <alignment horizontal="center" vertical="center" wrapText="1"/>
    </xf>
    <xf numFmtId="49" fontId="15" fillId="23" borderId="12" xfId="0" applyNumberFormat="1" applyFont="1" applyFill="1" applyBorder="1" applyAlignment="1">
      <alignment horizontal="center" vertical="center" wrapText="1"/>
    </xf>
    <xf numFmtId="49" fontId="15" fillId="23" borderId="12" xfId="0" applyNumberFormat="1" applyFont="1" applyFill="1" applyBorder="1" applyAlignment="1">
      <alignment horizontal="left" vertical="center" wrapText="1"/>
    </xf>
    <xf numFmtId="1" fontId="15" fillId="23" borderId="12" xfId="0" applyNumberFormat="1" applyFont="1" applyFill="1" applyBorder="1" applyAlignment="1">
      <alignment horizontal="left" vertical="top" wrapText="1"/>
    </xf>
    <xf numFmtId="0" fontId="7" fillId="23" borderId="12" xfId="0" applyFont="1" applyFill="1" applyBorder="1" applyAlignment="1">
      <alignment horizontal="center" vertical="center" wrapText="1"/>
    </xf>
    <xf numFmtId="1" fontId="7" fillId="26" borderId="12" xfId="0" applyNumberFormat="1" applyFont="1" applyFill="1" applyBorder="1" applyAlignment="1">
      <alignment horizontal="center" vertical="center" wrapText="1"/>
    </xf>
    <xf numFmtId="1" fontId="7" fillId="2" borderId="12" xfId="0" applyNumberFormat="1" applyFont="1" applyFill="1" applyBorder="1" applyAlignment="1">
      <alignment horizontal="center" vertical="center" wrapText="1"/>
    </xf>
    <xf numFmtId="1" fontId="7" fillId="7" borderId="12" xfId="0" applyNumberFormat="1"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4" borderId="12" xfId="0" applyFont="1" applyFill="1" applyBorder="1" applyAlignment="1">
      <alignment horizontal="center" vertical="center" wrapText="1"/>
    </xf>
    <xf numFmtId="1" fontId="7" fillId="23" borderId="12" xfId="0" applyNumberFormat="1" applyFont="1" applyFill="1" applyBorder="1" applyAlignment="1">
      <alignment horizontal="center" vertical="center" wrapText="1"/>
    </xf>
    <xf numFmtId="164" fontId="5" fillId="23" borderId="12" xfId="0" applyNumberFormat="1" applyFont="1" applyFill="1" applyBorder="1" applyAlignment="1">
      <alignment horizontal="center" vertical="center" wrapText="1"/>
    </xf>
    <xf numFmtId="165" fontId="7" fillId="23" borderId="12"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4" xfId="0" applyFont="1" applyBorder="1" applyAlignment="1">
      <alignment horizontal="left" vertical="center" wrapText="1"/>
    </xf>
    <xf numFmtId="0" fontId="6" fillId="0" borderId="4" xfId="0" applyFont="1" applyBorder="1" applyAlignment="1">
      <alignment horizontal="center" vertical="center" wrapText="1"/>
    </xf>
    <xf numFmtId="164" fontId="6" fillId="0" borderId="13" xfId="0" applyNumberFormat="1" applyFont="1" applyBorder="1" applyAlignment="1">
      <alignment horizontal="center" vertical="center" wrapText="1"/>
    </xf>
    <xf numFmtId="0" fontId="18" fillId="0" borderId="14" xfId="0" applyFont="1" applyBorder="1" applyAlignment="1">
      <alignment horizontal="center" vertical="center" wrapText="1"/>
    </xf>
    <xf numFmtId="165" fontId="4" fillId="0" borderId="4" xfId="0" applyNumberFormat="1" applyFont="1" applyBorder="1" applyAlignment="1">
      <alignment horizontal="center" vertical="center" wrapText="1"/>
    </xf>
    <xf numFmtId="165" fontId="4" fillId="5" borderId="4" xfId="0" applyNumberFormat="1" applyFont="1" applyFill="1" applyBorder="1" applyAlignment="1">
      <alignment horizontal="center" vertical="center" wrapText="1"/>
    </xf>
    <xf numFmtId="165" fontId="4" fillId="5" borderId="5" xfId="0" applyNumberFormat="1" applyFont="1" applyFill="1" applyBorder="1" applyAlignment="1">
      <alignment horizontal="center" vertical="center" wrapText="1"/>
    </xf>
    <xf numFmtId="1" fontId="17" fillId="5" borderId="7" xfId="0" applyNumberFormat="1" applyFont="1" applyFill="1" applyBorder="1" applyAlignment="1">
      <alignment horizontal="center" vertical="center" wrapText="1"/>
    </xf>
    <xf numFmtId="1" fontId="7" fillId="29" borderId="6" xfId="0" applyNumberFormat="1" applyFont="1" applyFill="1" applyBorder="1" applyAlignment="1">
      <alignment horizontal="center" vertical="center" wrapText="1"/>
    </xf>
    <xf numFmtId="1" fontId="7" fillId="29" borderId="12" xfId="0" applyNumberFormat="1" applyFont="1" applyFill="1" applyBorder="1" applyAlignment="1">
      <alignment horizontal="center" vertical="center" wrapText="1"/>
    </xf>
    <xf numFmtId="0" fontId="0" fillId="30" borderId="0" xfId="0" applyFill="1"/>
    <xf numFmtId="0" fontId="6" fillId="30" borderId="0" xfId="0" applyFont="1" applyFill="1" applyAlignment="1">
      <alignment horizontal="center" vertical="center" wrapText="1"/>
    </xf>
    <xf numFmtId="0" fontId="8" fillId="25" borderId="8" xfId="0" applyFont="1" applyFill="1" applyBorder="1" applyAlignment="1">
      <alignment horizontal="center" vertical="center" wrapText="1"/>
    </xf>
    <xf numFmtId="164" fontId="8" fillId="5" borderId="8" xfId="0" applyNumberFormat="1" applyFont="1" applyFill="1" applyBorder="1" applyAlignment="1">
      <alignment horizontal="center" vertical="center" wrapText="1"/>
    </xf>
    <xf numFmtId="0" fontId="7" fillId="30" borderId="8" xfId="0" applyFont="1" applyFill="1" applyBorder="1" applyAlignment="1">
      <alignment horizontal="center" vertical="center" wrapText="1"/>
    </xf>
    <xf numFmtId="0" fontId="12" fillId="0" borderId="0" xfId="0" applyFont="1" applyAlignment="1">
      <alignment horizontal="center" vertical="center" wrapText="1"/>
    </xf>
    <xf numFmtId="0" fontId="19" fillId="0" borderId="0" xfId="1" applyFont="1" applyAlignment="1">
      <alignment horizontal="center" vertical="center" wrapText="1"/>
    </xf>
    <xf numFmtId="0" fontId="14" fillId="0" borderId="0" xfId="1" applyFont="1" applyAlignment="1">
      <alignment horizontal="center" vertical="center" wrapText="1"/>
    </xf>
    <xf numFmtId="0" fontId="12" fillId="0" borderId="0" xfId="1" applyFont="1" applyAlignment="1">
      <alignment horizontal="center" vertical="center" wrapText="1"/>
    </xf>
    <xf numFmtId="4" fontId="12" fillId="0" borderId="0" xfId="1" applyNumberFormat="1" applyFont="1" applyAlignment="1">
      <alignment horizontal="center" vertical="center" wrapText="1"/>
    </xf>
    <xf numFmtId="0" fontId="12" fillId="7" borderId="10" xfId="1" applyFont="1" applyFill="1" applyBorder="1" applyAlignment="1">
      <alignment horizontal="center" vertical="center" wrapText="1"/>
    </xf>
    <xf numFmtId="0" fontId="12" fillId="29" borderId="10" xfId="1" applyFont="1" applyFill="1" applyBorder="1" applyAlignment="1">
      <alignment horizontal="center" vertical="center" wrapText="1"/>
    </xf>
    <xf numFmtId="0" fontId="13" fillId="30" borderId="10" xfId="0" applyFont="1" applyFill="1" applyBorder="1" applyAlignment="1">
      <alignment horizontal="center" vertical="center" wrapText="1"/>
    </xf>
    <xf numFmtId="164" fontId="12" fillId="26" borderId="10" xfId="0" applyNumberFormat="1" applyFont="1" applyFill="1" applyBorder="1" applyAlignment="1">
      <alignment horizontal="center" vertical="center" wrapText="1"/>
    </xf>
    <xf numFmtId="164" fontId="12" fillId="6" borderId="10" xfId="0" applyNumberFormat="1" applyFont="1" applyFill="1" applyBorder="1" applyAlignment="1">
      <alignment horizontal="center" vertical="center" wrapText="1"/>
    </xf>
    <xf numFmtId="164" fontId="12" fillId="27" borderId="10" xfId="0" applyNumberFormat="1" applyFont="1" applyFill="1" applyBorder="1" applyAlignment="1">
      <alignment horizontal="center" vertical="center" wrapText="1"/>
    </xf>
    <xf numFmtId="164" fontId="12" fillId="27" borderId="11" xfId="0" applyNumberFormat="1" applyFont="1" applyFill="1" applyBorder="1" applyAlignment="1">
      <alignment horizontal="center" vertical="center" wrapText="1"/>
    </xf>
    <xf numFmtId="0" fontId="13" fillId="0" borderId="0" xfId="0" applyFont="1" applyAlignment="1">
      <alignment horizontal="center" vertical="center" wrapText="1"/>
    </xf>
    <xf numFmtId="0" fontId="21" fillId="31" borderId="15" xfId="0" applyFont="1" applyFill="1" applyBorder="1" applyAlignment="1">
      <alignment horizontal="center" vertical="center" wrapText="1"/>
    </xf>
    <xf numFmtId="1" fontId="22" fillId="31" borderId="16" xfId="0" applyNumberFormat="1" applyFont="1" applyFill="1" applyBorder="1" applyAlignment="1">
      <alignment horizontal="center" vertical="center"/>
    </xf>
    <xf numFmtId="1" fontId="23" fillId="31" borderId="16" xfId="0" applyNumberFormat="1" applyFont="1" applyFill="1" applyBorder="1" applyAlignment="1">
      <alignment horizontal="center" vertical="center" wrapText="1"/>
    </xf>
    <xf numFmtId="1" fontId="23" fillId="31" borderId="18" xfId="0" applyNumberFormat="1" applyFont="1" applyFill="1" applyBorder="1" applyAlignment="1">
      <alignment horizontal="center" vertical="center" wrapText="1"/>
    </xf>
    <xf numFmtId="1" fontId="23" fillId="31" borderId="19" xfId="0" applyNumberFormat="1" applyFont="1" applyFill="1" applyBorder="1" applyAlignment="1">
      <alignment horizontal="center" vertical="center" wrapText="1"/>
    </xf>
    <xf numFmtId="1" fontId="21" fillId="31" borderId="16" xfId="0" applyNumberFormat="1" applyFont="1" applyFill="1" applyBorder="1" applyAlignment="1">
      <alignment horizontal="center" vertical="center" wrapText="1"/>
    </xf>
    <xf numFmtId="1" fontId="24" fillId="31" borderId="16" xfId="0" applyNumberFormat="1" applyFont="1" applyFill="1" applyBorder="1" applyAlignment="1">
      <alignment horizontal="center" vertical="center" wrapText="1"/>
    </xf>
    <xf numFmtId="0" fontId="8" fillId="25" borderId="20" xfId="1" applyFont="1" applyFill="1" applyBorder="1" applyAlignment="1">
      <alignment horizontal="center" vertical="center" wrapText="1"/>
    </xf>
    <xf numFmtId="0" fontId="5" fillId="25" borderId="21" xfId="1" applyFont="1" applyFill="1" applyBorder="1" applyAlignment="1">
      <alignment horizontal="center" vertical="center" wrapText="1"/>
    </xf>
    <xf numFmtId="0" fontId="5" fillId="25" borderId="12" xfId="0" applyFont="1" applyFill="1" applyBorder="1" applyAlignment="1">
      <alignment horizontal="center" vertical="center" wrapText="1"/>
    </xf>
    <xf numFmtId="0" fontId="12" fillId="26" borderId="12" xfId="1" applyFont="1" applyFill="1" applyBorder="1" applyAlignment="1">
      <alignment horizontal="center" vertical="center" wrapText="1"/>
    </xf>
    <xf numFmtId="0" fontId="12" fillId="2" borderId="12" xfId="1" applyFont="1" applyFill="1" applyBorder="1" applyAlignment="1">
      <alignment horizontal="center" vertical="center" wrapText="1"/>
    </xf>
    <xf numFmtId="0" fontId="12" fillId="7" borderId="12" xfId="1" applyFont="1" applyFill="1" applyBorder="1" applyAlignment="1">
      <alignment horizontal="center" vertical="center" wrapText="1"/>
    </xf>
    <xf numFmtId="0" fontId="12" fillId="29" borderId="12" xfId="1" applyFont="1" applyFill="1" applyBorder="1" applyAlignment="1">
      <alignment horizontal="center" vertical="center" wrapText="1"/>
    </xf>
    <xf numFmtId="0" fontId="12" fillId="6" borderId="12" xfId="1" applyFont="1" applyFill="1" applyBorder="1" applyAlignment="1">
      <alignment horizontal="center" vertical="center" wrapText="1"/>
    </xf>
    <xf numFmtId="0" fontId="12" fillId="4" borderId="12" xfId="1" applyFont="1" applyFill="1" applyBorder="1" applyAlignment="1">
      <alignment horizontal="center" vertical="center" wrapText="1"/>
    </xf>
    <xf numFmtId="0" fontId="12" fillId="27" borderId="12" xfId="1" applyFont="1" applyFill="1" applyBorder="1" applyAlignment="1">
      <alignment horizontal="center" vertical="center" wrapText="1"/>
    </xf>
    <xf numFmtId="164" fontId="18" fillId="5" borderId="12" xfId="0" applyNumberFormat="1" applyFont="1" applyFill="1" applyBorder="1" applyAlignment="1">
      <alignment horizontal="center" vertical="center" wrapText="1"/>
    </xf>
    <xf numFmtId="1" fontId="21" fillId="31" borderId="17" xfId="0" applyNumberFormat="1" applyFont="1" applyFill="1" applyBorder="1" applyAlignment="1">
      <alignment horizontal="center" vertical="center" wrapText="1"/>
    </xf>
    <xf numFmtId="1" fontId="26" fillId="5" borderId="17" xfId="0" applyNumberFormat="1" applyFont="1" applyFill="1" applyBorder="1" applyAlignment="1">
      <alignment horizontal="center" vertical="center" wrapText="1"/>
    </xf>
    <xf numFmtId="1" fontId="27" fillId="31" borderId="16" xfId="0" applyNumberFormat="1" applyFont="1" applyFill="1" applyBorder="1" applyAlignment="1">
      <alignment horizontal="center" vertical="center" wrapText="1"/>
    </xf>
    <xf numFmtId="0" fontId="14" fillId="5" borderId="6"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2" fillId="10" borderId="22" xfId="0" applyFont="1" applyFill="1" applyBorder="1" applyAlignment="1">
      <alignment horizontal="center" vertical="center" wrapText="1"/>
    </xf>
    <xf numFmtId="0" fontId="20" fillId="9" borderId="23" xfId="0" applyFont="1" applyFill="1" applyBorder="1" applyAlignment="1">
      <alignment horizontal="center" vertical="center" wrapText="1"/>
    </xf>
    <xf numFmtId="49" fontId="15" fillId="9" borderId="23" xfId="0" applyNumberFormat="1" applyFont="1" applyFill="1" applyBorder="1" applyAlignment="1">
      <alignment horizontal="center" vertical="center" wrapText="1"/>
    </xf>
    <xf numFmtId="0" fontId="14" fillId="5" borderId="23" xfId="0" applyFont="1" applyFill="1" applyBorder="1" applyAlignment="1">
      <alignment horizontal="center" vertical="center" wrapText="1"/>
    </xf>
    <xf numFmtId="1" fontId="15" fillId="9" borderId="23" xfId="0" applyNumberFormat="1" applyFont="1" applyFill="1" applyBorder="1" applyAlignment="1">
      <alignment horizontal="center" vertical="top" wrapText="1"/>
    </xf>
    <xf numFmtId="0" fontId="7" fillId="9" borderId="23" xfId="0" applyFont="1" applyFill="1" applyBorder="1" applyAlignment="1">
      <alignment horizontal="center" vertical="center" wrapText="1"/>
    </xf>
    <xf numFmtId="0" fontId="7" fillId="26" borderId="23" xfId="0" applyFont="1" applyFill="1" applyBorder="1" applyAlignment="1">
      <alignment horizontal="center" vertical="center" wrapText="1"/>
    </xf>
    <xf numFmtId="0" fontId="7" fillId="2" borderId="23" xfId="0" applyFont="1" applyFill="1" applyBorder="1" applyAlignment="1">
      <alignment horizontal="center" vertical="center" wrapText="1"/>
    </xf>
    <xf numFmtId="1" fontId="7" fillId="7" borderId="23" xfId="0" applyNumberFormat="1" applyFont="1" applyFill="1" applyBorder="1" applyAlignment="1">
      <alignment horizontal="center" vertical="center" wrapText="1"/>
    </xf>
    <xf numFmtId="1" fontId="7" fillId="29" borderId="23" xfId="0" applyNumberFormat="1" applyFont="1" applyFill="1" applyBorder="1" applyAlignment="1">
      <alignment horizontal="center" vertical="center" wrapText="1"/>
    </xf>
    <xf numFmtId="0" fontId="8" fillId="6" borderId="23" xfId="0" applyFont="1" applyFill="1" applyBorder="1" applyAlignment="1">
      <alignment horizontal="center" vertical="center" wrapText="1"/>
    </xf>
    <xf numFmtId="1" fontId="8" fillId="4" borderId="23" xfId="0" applyNumberFormat="1" applyFont="1" applyFill="1" applyBorder="1" applyAlignment="1">
      <alignment horizontal="center" vertical="center" wrapText="1"/>
    </xf>
    <xf numFmtId="1" fontId="7" fillId="9" borderId="23" xfId="0" applyNumberFormat="1" applyFont="1" applyFill="1" applyBorder="1" applyAlignment="1">
      <alignment horizontal="center" vertical="center" wrapText="1"/>
    </xf>
    <xf numFmtId="164" fontId="5" fillId="9" borderId="23" xfId="0" applyNumberFormat="1" applyFont="1" applyFill="1" applyBorder="1" applyAlignment="1">
      <alignment horizontal="center" vertical="center" wrapText="1"/>
    </xf>
    <xf numFmtId="165" fontId="7" fillId="9" borderId="23" xfId="0" applyNumberFormat="1" applyFont="1" applyFill="1" applyBorder="1" applyAlignment="1">
      <alignment horizontal="center" vertical="center" wrapText="1"/>
    </xf>
    <xf numFmtId="165" fontId="7" fillId="9" borderId="24" xfId="0" applyNumberFormat="1" applyFont="1" applyFill="1" applyBorder="1" applyAlignment="1">
      <alignment horizontal="center" vertical="center" wrapText="1"/>
    </xf>
    <xf numFmtId="0" fontId="25" fillId="31" borderId="4" xfId="0" applyFont="1" applyFill="1" applyBorder="1" applyAlignment="1">
      <alignment vertical="center"/>
    </xf>
    <xf numFmtId="0" fontId="8" fillId="26" borderId="8" xfId="1" applyFont="1" applyFill="1" applyBorder="1" applyAlignment="1">
      <alignment horizontal="center" vertical="center" wrapText="1"/>
    </xf>
    <xf numFmtId="0" fontId="8" fillId="7" borderId="8" xfId="1" applyFont="1" applyFill="1" applyBorder="1" applyAlignment="1">
      <alignment horizontal="center" vertical="center" wrapText="1"/>
    </xf>
    <xf numFmtId="0" fontId="8" fillId="6" borderId="8" xfId="1" applyFont="1" applyFill="1" applyBorder="1" applyAlignment="1">
      <alignment horizontal="center" vertical="center" wrapText="1"/>
    </xf>
    <xf numFmtId="0" fontId="8" fillId="27" borderId="8" xfId="1" applyFont="1" applyFill="1" applyBorder="1" applyAlignment="1">
      <alignment horizontal="center" vertical="center" wrapText="1"/>
    </xf>
    <xf numFmtId="0" fontId="8" fillId="27" borderId="9" xfId="1" applyFont="1" applyFill="1" applyBorder="1" applyAlignment="1">
      <alignment horizontal="center" vertical="center" wrapText="1"/>
    </xf>
    <xf numFmtId="0" fontId="8" fillId="0" borderId="0" xfId="1" applyFont="1" applyAlignment="1">
      <alignment horizontal="center" vertical="center" wrapText="1"/>
    </xf>
    <xf numFmtId="49" fontId="15" fillId="5" borderId="6" xfId="0" applyNumberFormat="1" applyFont="1" applyFill="1" applyBorder="1" applyAlignment="1">
      <alignment horizontal="left" vertical="center" wrapText="1"/>
    </xf>
  </cellXfs>
  <cellStyles count="2">
    <cellStyle name="Normal" xfId="0" builtinId="0"/>
    <cellStyle name="Normal 3" xfId="1" xr:uid="{00000000-0005-0000-0000-000001000000}"/>
  </cellStyles>
  <dxfs count="0"/>
  <tableStyles count="0" defaultTableStyle="TableStyleMedium2" defaultPivotStyle="PivotStyleLight16"/>
  <colors>
    <mruColors>
      <color rgb="FFFFD579"/>
      <color rgb="FFFF75A9"/>
      <color rgb="FFDCFCE7"/>
      <color rgb="FFC808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AD233B-34C4-BE42-AFEE-074A6A5F34C5}">
  <we:reference id="wa200009404" version="1.0.0.8" store="en-US" storeType="OMEX"/>
  <we:alternateReferences>
    <we:reference id="wa200009404" version="1.0.0.8" store="en-US" storeType="OMEX"/>
  </we:alternateReferences>
  <we:properties>
    <we:property name="claude.fileId" value="&quot;dc783fb7-9056-40be-a941-f1b2889426e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701D9-3E1B-1A41-84C4-8AD7103130CD}">
  <sheetPr>
    <pageSetUpPr fitToPage="1"/>
  </sheetPr>
  <dimension ref="A1:AS975"/>
  <sheetViews>
    <sheetView tabSelected="1" view="pageBreakPreview" topLeftCell="K1" zoomScale="225" zoomScaleNormal="100" workbookViewId="0">
      <pane ySplit="3" topLeftCell="A42" activePane="bottomLeft" state="frozen"/>
      <selection pane="bottomLeft" activeCell="J46" sqref="J46"/>
    </sheetView>
  </sheetViews>
  <sheetFormatPr baseColWidth="10" defaultRowHeight="10" customHeight="1"/>
  <cols>
    <col min="1" max="1" width="4.6640625" style="1" customWidth="1"/>
    <col min="2" max="2" width="7" style="131" customWidth="1"/>
    <col min="3" max="3" width="5.83203125" style="14" customWidth="1"/>
    <col min="4" max="4" width="8" style="14" customWidth="1"/>
    <col min="5" max="5" width="7.5" style="14" customWidth="1"/>
    <col min="6" max="6" width="5" style="14" customWidth="1"/>
    <col min="7" max="7" width="14.1640625" style="14" customWidth="1"/>
    <col min="8" max="8" width="8.5" style="14" customWidth="1"/>
    <col min="9" max="9" width="21.6640625" style="14" customWidth="1"/>
    <col min="10" max="10" width="36" style="15" customWidth="1"/>
    <col min="11" max="11" width="59.33203125" style="15" customWidth="1"/>
    <col min="12" max="12" width="7.5" style="1" customWidth="1"/>
    <col min="13" max="13" width="12.33203125" style="1" customWidth="1"/>
    <col min="14" max="14" width="9.1640625" style="1" hidden="1" customWidth="1"/>
    <col min="15" max="15" width="16.6640625" style="9" hidden="1" customWidth="1"/>
    <col min="16" max="16" width="8.33203125" style="2" hidden="1" customWidth="1"/>
    <col min="17" max="17" width="8.33203125" style="3" hidden="1" customWidth="1"/>
    <col min="18" max="18" width="8.33203125" style="4" hidden="1" customWidth="1"/>
    <col min="19" max="19" width="8.33203125" style="5" hidden="1" customWidth="1"/>
    <col min="20" max="20" width="8.33203125" style="6" hidden="1" customWidth="1"/>
    <col min="21" max="21" width="8.33203125" style="7" hidden="1" customWidth="1"/>
    <col min="22" max="22" width="9.1640625" style="7" hidden="1" customWidth="1"/>
    <col min="23" max="23" width="9.1640625" style="8" hidden="1" customWidth="1"/>
    <col min="24" max="24" width="12.1640625" style="119" bestFit="1" customWidth="1"/>
    <col min="25" max="25" width="1.83203125" customWidth="1"/>
    <col min="26" max="26" width="13.6640625" style="10" hidden="1" customWidth="1"/>
    <col min="27" max="31" width="12.6640625" style="10" hidden="1" customWidth="1"/>
    <col min="32" max="32" width="13.6640625" style="10" hidden="1" customWidth="1"/>
    <col min="33" max="33" width="12.6640625" style="10" hidden="1" customWidth="1"/>
    <col min="34" max="34" width="10.83203125" style="1"/>
    <col min="35" max="35" width="12.5" style="1" bestFit="1" customWidth="1"/>
    <col min="36" max="16384" width="10.83203125" style="1"/>
  </cols>
  <sheetData>
    <row r="1" spans="1:33" s="13" customFormat="1" ht="10" customHeight="1">
      <c r="A1" s="122"/>
      <c r="B1" s="223"/>
      <c r="C1" s="223"/>
      <c r="D1" s="223"/>
      <c r="E1" s="223"/>
      <c r="F1" s="223"/>
      <c r="G1" s="223"/>
      <c r="H1" s="223"/>
      <c r="I1" s="223"/>
      <c r="J1" s="223"/>
      <c r="K1" s="223"/>
      <c r="L1" s="223"/>
      <c r="M1" s="223"/>
      <c r="N1" s="185"/>
      <c r="O1" s="162"/>
      <c r="P1" s="218" t="s">
        <v>657</v>
      </c>
      <c r="Q1" s="218"/>
      <c r="R1" s="219" t="s">
        <v>656</v>
      </c>
      <c r="S1" s="219"/>
      <c r="T1" s="220" t="s">
        <v>655</v>
      </c>
      <c r="U1" s="220"/>
      <c r="V1" s="221" t="s">
        <v>658</v>
      </c>
      <c r="W1" s="221"/>
      <c r="X1" s="163"/>
      <c r="Y1" s="164"/>
      <c r="Z1" s="218" t="s">
        <v>657</v>
      </c>
      <c r="AA1" s="218"/>
      <c r="AB1" s="219" t="s">
        <v>656</v>
      </c>
      <c r="AC1" s="219"/>
      <c r="AD1" s="220" t="s">
        <v>655</v>
      </c>
      <c r="AE1" s="220"/>
      <c r="AF1" s="221" t="s">
        <v>658</v>
      </c>
      <c r="AG1" s="222"/>
    </row>
    <row r="2" spans="1:33" s="177" customFormat="1" ht="14" thickBot="1">
      <c r="A2" s="165"/>
      <c r="B2" s="166"/>
      <c r="C2" s="167"/>
      <c r="D2" s="167"/>
      <c r="E2" s="167"/>
      <c r="F2" s="167"/>
      <c r="G2" s="167"/>
      <c r="H2" s="167"/>
      <c r="I2" s="167"/>
      <c r="J2" s="167"/>
      <c r="K2" s="167"/>
      <c r="L2" s="168"/>
      <c r="M2" s="169"/>
      <c r="N2" s="186" t="s">
        <v>603</v>
      </c>
      <c r="O2" s="187" t="s">
        <v>668</v>
      </c>
      <c r="P2" s="188" t="s">
        <v>646</v>
      </c>
      <c r="Q2" s="189" t="s">
        <v>647</v>
      </c>
      <c r="R2" s="190" t="s">
        <v>646</v>
      </c>
      <c r="S2" s="191" t="s">
        <v>647</v>
      </c>
      <c r="T2" s="192" t="s">
        <v>646</v>
      </c>
      <c r="U2" s="193" t="s">
        <v>647</v>
      </c>
      <c r="V2" s="194" t="s">
        <v>646</v>
      </c>
      <c r="W2" s="194" t="s">
        <v>647</v>
      </c>
      <c r="X2" s="195"/>
      <c r="Y2" s="172"/>
      <c r="Z2" s="173" t="s">
        <v>648</v>
      </c>
      <c r="AA2" s="173" t="s">
        <v>513</v>
      </c>
      <c r="AB2" s="170" t="s">
        <v>190</v>
      </c>
      <c r="AC2" s="171" t="s">
        <v>513</v>
      </c>
      <c r="AD2" s="174" t="s">
        <v>190</v>
      </c>
      <c r="AE2" s="174" t="s">
        <v>513</v>
      </c>
      <c r="AF2" s="175" t="s">
        <v>190</v>
      </c>
      <c r="AG2" s="176" t="s">
        <v>513</v>
      </c>
    </row>
    <row r="3" spans="1:33" ht="16" thickBot="1">
      <c r="A3" s="178" t="s">
        <v>515</v>
      </c>
      <c r="B3" s="179" t="s">
        <v>642</v>
      </c>
      <c r="C3" s="180" t="s">
        <v>599</v>
      </c>
      <c r="D3" s="180" t="s">
        <v>600</v>
      </c>
      <c r="E3" s="180" t="s">
        <v>601</v>
      </c>
      <c r="F3" s="181" t="s">
        <v>602</v>
      </c>
      <c r="G3" s="157" t="s">
        <v>643</v>
      </c>
      <c r="H3" s="182" t="s">
        <v>608</v>
      </c>
      <c r="I3" s="180" t="s">
        <v>514</v>
      </c>
      <c r="J3" s="180" t="s">
        <v>609</v>
      </c>
      <c r="K3" s="180" t="s">
        <v>610</v>
      </c>
      <c r="L3" s="183" t="s">
        <v>603</v>
      </c>
      <c r="M3" s="184" t="s">
        <v>604</v>
      </c>
      <c r="N3" s="183" t="s">
        <v>603</v>
      </c>
      <c r="O3" s="184" t="s">
        <v>668</v>
      </c>
      <c r="P3" s="198" t="s">
        <v>651</v>
      </c>
      <c r="Q3" s="198" t="s">
        <v>652</v>
      </c>
      <c r="R3" s="198" t="s">
        <v>649</v>
      </c>
      <c r="S3" s="198" t="s">
        <v>650</v>
      </c>
      <c r="T3" s="198" t="s">
        <v>653</v>
      </c>
      <c r="U3" s="198" t="s">
        <v>654</v>
      </c>
      <c r="V3" s="198" t="s">
        <v>669</v>
      </c>
      <c r="W3" s="198" t="s">
        <v>670</v>
      </c>
      <c r="X3" s="197" t="s">
        <v>667</v>
      </c>
      <c r="Y3" s="217"/>
      <c r="Z3" s="183"/>
      <c r="AA3" s="183"/>
      <c r="AB3" s="183"/>
      <c r="AC3" s="183"/>
      <c r="AD3" s="183"/>
      <c r="AE3" s="183"/>
      <c r="AF3" s="183"/>
      <c r="AG3" s="196"/>
    </row>
    <row r="4" spans="1:33" ht="10" customHeight="1">
      <c r="A4" s="201">
        <v>1</v>
      </c>
      <c r="B4" s="202" t="s">
        <v>178</v>
      </c>
      <c r="C4" s="203" t="s">
        <v>0</v>
      </c>
      <c r="D4" s="203" t="s">
        <v>84</v>
      </c>
      <c r="E4" s="203" t="s">
        <v>24</v>
      </c>
      <c r="F4" s="203" t="s">
        <v>85</v>
      </c>
      <c r="G4" s="204" t="str">
        <f>IF(H4="","",IF(ISNUMBER(SEARCH(" ",H4)),LEFT(H4,1)&amp;MID(H4,SEARCH(" ",H4)+1,1)&amp;IFERROR(MID(H4,SEARCH(" ",H4,SEARCH(" ",H4)+1)+1,1),""),LEFT(H4,3)))&amp;IF(I4="","","-"&amp;IF(ISNUMBER(SEARCH(" ",I4)),LEFT(I4,1)&amp;MID(I4,SEARCH(" ",I4)+1,1)&amp;IFERROR(MID(I4,SEARCH(" ",I4,SEARCH(" ",I4)+1)+1,1),""),LEFT(I4,3)))&amp;IF(D4="","","-"&amp;D4)&amp;"-"&amp;TEXT(COUNTIF($H$4:H4,H4),"000")</f>
        <v>C&amp;E-SAL-103-001</v>
      </c>
      <c r="H4" s="203" t="s">
        <v>606</v>
      </c>
      <c r="I4" s="203" t="s">
        <v>612</v>
      </c>
      <c r="J4" s="203" t="s">
        <v>344</v>
      </c>
      <c r="K4" s="205" t="s">
        <v>191</v>
      </c>
      <c r="L4" s="206" t="s">
        <v>135</v>
      </c>
      <c r="M4" s="206" t="s">
        <v>142</v>
      </c>
      <c r="N4" s="206" t="s">
        <v>141</v>
      </c>
      <c r="O4" s="206" t="s">
        <v>547</v>
      </c>
      <c r="P4" s="207">
        <v>2760</v>
      </c>
      <c r="Q4" s="208">
        <f>P4*0.4</f>
        <v>1104</v>
      </c>
      <c r="R4" s="209">
        <v>600</v>
      </c>
      <c r="S4" s="210">
        <f t="shared" ref="S4:S12" si="0">(R4*0.4)</f>
        <v>240</v>
      </c>
      <c r="T4" s="211">
        <v>583</v>
      </c>
      <c r="U4" s="212">
        <f t="shared" ref="U4:U12" si="1">(T4*0.4)</f>
        <v>233.20000000000002</v>
      </c>
      <c r="V4" s="213">
        <f>P4+R4+T4</f>
        <v>3943</v>
      </c>
      <c r="W4" s="213">
        <f>V4*0.4</f>
        <v>1577.2</v>
      </c>
      <c r="X4" s="214">
        <v>161</v>
      </c>
      <c r="Y4" s="160"/>
      <c r="Z4" s="215">
        <f t="shared" ref="Z4:Z35" si="2">X4*P4</f>
        <v>444360</v>
      </c>
      <c r="AA4" s="215">
        <f t="shared" ref="AA4:AA35" si="3">X4*Q4</f>
        <v>177744</v>
      </c>
      <c r="AB4" s="215">
        <f t="shared" ref="AB4:AB35" si="4">X4*R4</f>
        <v>96600</v>
      </c>
      <c r="AC4" s="215">
        <f t="shared" ref="AC4:AC35" si="5">X4*S4</f>
        <v>38640</v>
      </c>
      <c r="AD4" s="215">
        <f t="shared" ref="AD4:AD35" si="6">X4*T4</f>
        <v>93863</v>
      </c>
      <c r="AE4" s="215">
        <f t="shared" ref="AE4:AE35" si="7">X4*U4</f>
        <v>37545.200000000004</v>
      </c>
      <c r="AF4" s="215">
        <f t="shared" ref="AF4:AF35" si="8">X4*V4</f>
        <v>634823</v>
      </c>
      <c r="AG4" s="216">
        <f t="shared" ref="AG4:AG35" si="9">X4*W4</f>
        <v>253929.2</v>
      </c>
    </row>
    <row r="5" spans="1:33" ht="10" customHeight="1">
      <c r="A5" s="16">
        <v>2</v>
      </c>
      <c r="B5" s="124" t="s">
        <v>178</v>
      </c>
      <c r="C5" s="28" t="s">
        <v>0</v>
      </c>
      <c r="D5" s="28" t="s">
        <v>84</v>
      </c>
      <c r="E5" s="28" t="s">
        <v>27</v>
      </c>
      <c r="F5" s="28" t="s">
        <v>44</v>
      </c>
      <c r="G5" s="199" t="str">
        <f>IF(H5="","",IF(ISNUMBER(SEARCH(" ",H5)),LEFT(H5,1)&amp;MID(H5,SEARCH(" ",H5)+1,1)&amp;IFERROR(MID(H5,SEARCH(" ",H5,SEARCH(" ",H5)+1)+1,1),""),LEFT(H5,3)))&amp;IF(I5="","","-"&amp;IF(ISNUMBER(SEARCH(" ",I5)),LEFT(I5,1)&amp;MID(I5,SEARCH(" ",I5)+1,1)&amp;IFERROR(MID(I5,SEARCH(" ",I5,SEARCH(" ",I5)+1)+1,1),""),LEFT(I5,3)))&amp;IF(D5="","","-"&amp;D5)&amp;"-"&amp;TEXT(COUNTIF($H$4:H5,H5),"000")</f>
        <v>C&amp;E-SAL-103-002</v>
      </c>
      <c r="H5" s="17" t="s">
        <v>606</v>
      </c>
      <c r="I5" s="121" t="s">
        <v>612</v>
      </c>
      <c r="J5" s="29" t="s">
        <v>345</v>
      </c>
      <c r="K5" s="30" t="s">
        <v>192</v>
      </c>
      <c r="L5" s="31" t="s">
        <v>135</v>
      </c>
      <c r="M5" s="31" t="s">
        <v>142</v>
      </c>
      <c r="N5" s="31" t="s">
        <v>141</v>
      </c>
      <c r="O5" s="31" t="s">
        <v>547</v>
      </c>
      <c r="P5" s="21">
        <v>0</v>
      </c>
      <c r="Q5" s="22">
        <f>P5*0.4</f>
        <v>0</v>
      </c>
      <c r="R5" s="23">
        <v>0</v>
      </c>
      <c r="S5" s="158">
        <f t="shared" si="0"/>
        <v>0</v>
      </c>
      <c r="T5" s="24">
        <v>0</v>
      </c>
      <c r="U5" s="25">
        <f t="shared" si="1"/>
        <v>0</v>
      </c>
      <c r="V5" s="32">
        <f>P5+R5+T5</f>
        <v>0</v>
      </c>
      <c r="W5" s="32">
        <f>V5*0.4</f>
        <v>0</v>
      </c>
      <c r="X5" s="105">
        <v>97</v>
      </c>
      <c r="Y5" s="160"/>
      <c r="Z5" s="33">
        <f t="shared" si="2"/>
        <v>0</v>
      </c>
      <c r="AA5" s="33">
        <f t="shared" si="3"/>
        <v>0</v>
      </c>
      <c r="AB5" s="33">
        <f t="shared" si="4"/>
        <v>0</v>
      </c>
      <c r="AC5" s="33">
        <f t="shared" si="5"/>
        <v>0</v>
      </c>
      <c r="AD5" s="33">
        <f t="shared" si="6"/>
        <v>0</v>
      </c>
      <c r="AE5" s="33">
        <f t="shared" si="7"/>
        <v>0</v>
      </c>
      <c r="AF5" s="33">
        <f t="shared" si="8"/>
        <v>0</v>
      </c>
      <c r="AG5" s="33">
        <f t="shared" si="9"/>
        <v>0</v>
      </c>
    </row>
    <row r="6" spans="1:33" ht="10" customHeight="1">
      <c r="A6" s="16">
        <v>3</v>
      </c>
      <c r="B6" s="123" t="s">
        <v>178</v>
      </c>
      <c r="C6" s="17" t="s">
        <v>0</v>
      </c>
      <c r="D6" s="17" t="s">
        <v>84</v>
      </c>
      <c r="E6" s="17" t="s">
        <v>50</v>
      </c>
      <c r="F6" s="17" t="s">
        <v>21</v>
      </c>
      <c r="G6" s="199" t="str">
        <f>IF(H6="","",IF(ISNUMBER(SEARCH(" ",H6)),LEFT(H6,1)&amp;MID(H6,SEARCH(" ",H6)+1,1)&amp;IFERROR(MID(H6,SEARCH(" ",H6,SEARCH(" ",H6)+1)+1,1),""),LEFT(H6,3)))&amp;IF(I6="","","-"&amp;IF(ISNUMBER(SEARCH(" ",I6)),LEFT(I6,1)&amp;MID(I6,SEARCH(" ",I6)+1,1)&amp;IFERROR(MID(I6,SEARCH(" ",I6,SEARCH(" ",I6)+1)+1,1),""),LEFT(I6,3)))&amp;IF(D6="","","-"&amp;D6)&amp;"-"&amp;TEXT(COUNTIF($H$4:H6,H6),"000")</f>
        <v>C&amp;E-SAL-103-003</v>
      </c>
      <c r="H6" s="17" t="s">
        <v>606</v>
      </c>
      <c r="I6" s="17" t="s">
        <v>612</v>
      </c>
      <c r="J6" s="18" t="s">
        <v>346</v>
      </c>
      <c r="K6" s="19" t="s">
        <v>193</v>
      </c>
      <c r="L6" s="20" t="s">
        <v>135</v>
      </c>
      <c r="M6" s="20" t="s">
        <v>142</v>
      </c>
      <c r="N6" s="20" t="s">
        <v>141</v>
      </c>
      <c r="O6" s="20" t="s">
        <v>547</v>
      </c>
      <c r="P6" s="21">
        <v>0</v>
      </c>
      <c r="Q6" s="22">
        <f>P6*0.4</f>
        <v>0</v>
      </c>
      <c r="R6" s="23">
        <v>180</v>
      </c>
      <c r="S6" s="158">
        <f t="shared" si="0"/>
        <v>72</v>
      </c>
      <c r="T6" s="24">
        <v>189</v>
      </c>
      <c r="U6" s="25">
        <f t="shared" si="1"/>
        <v>75.600000000000009</v>
      </c>
      <c r="V6" s="26">
        <f>P6+R6+T6</f>
        <v>369</v>
      </c>
      <c r="W6" s="26">
        <f>V6*0.4</f>
        <v>147.6</v>
      </c>
      <c r="X6" s="109">
        <v>82</v>
      </c>
      <c r="Y6" s="160"/>
      <c r="Z6" s="27">
        <f t="shared" si="2"/>
        <v>0</v>
      </c>
      <c r="AA6" s="27">
        <f t="shared" si="3"/>
        <v>0</v>
      </c>
      <c r="AB6" s="27">
        <f t="shared" si="4"/>
        <v>14760</v>
      </c>
      <c r="AC6" s="27">
        <f t="shared" si="5"/>
        <v>5904</v>
      </c>
      <c r="AD6" s="27">
        <f t="shared" si="6"/>
        <v>15498</v>
      </c>
      <c r="AE6" s="27">
        <f t="shared" si="7"/>
        <v>6199.2000000000007</v>
      </c>
      <c r="AF6" s="27">
        <f t="shared" si="8"/>
        <v>30258</v>
      </c>
      <c r="AG6" s="27">
        <f t="shared" si="9"/>
        <v>12103.199999999999</v>
      </c>
    </row>
    <row r="7" spans="1:33" ht="10" customHeight="1">
      <c r="A7" s="16">
        <v>4</v>
      </c>
      <c r="B7" s="124" t="s">
        <v>178</v>
      </c>
      <c r="C7" s="28" t="s">
        <v>0</v>
      </c>
      <c r="D7" s="28" t="s">
        <v>84</v>
      </c>
      <c r="E7" s="28" t="s">
        <v>54</v>
      </c>
      <c r="F7" s="28" t="s">
        <v>21</v>
      </c>
      <c r="G7" s="199" t="str">
        <f>IF(H7="","",IF(ISNUMBER(SEARCH(" ",H7)),LEFT(H7,1)&amp;MID(H7,SEARCH(" ",H7)+1,1)&amp;IFERROR(MID(H7,SEARCH(" ",H7,SEARCH(" ",H7)+1)+1,1),""),LEFT(H7,3)))&amp;IF(I7="","","-"&amp;IF(ISNUMBER(SEARCH(" ",I7)),LEFT(I7,1)&amp;MID(I7,SEARCH(" ",I7)+1,1)&amp;IFERROR(MID(I7,SEARCH(" ",I7,SEARCH(" ",I7)+1)+1,1),""),LEFT(I7,3)))&amp;IF(D7="","","-"&amp;D7)&amp;"-"&amp;TEXT(COUNTIF($H$4:H7,H7),"000")</f>
        <v>C&amp;E-SAL-103-004</v>
      </c>
      <c r="H7" s="17" t="s">
        <v>606</v>
      </c>
      <c r="I7" s="121" t="s">
        <v>612</v>
      </c>
      <c r="J7" s="29" t="s">
        <v>347</v>
      </c>
      <c r="K7" s="30" t="s">
        <v>517</v>
      </c>
      <c r="L7" s="31" t="s">
        <v>135</v>
      </c>
      <c r="M7" s="31" t="s">
        <v>142</v>
      </c>
      <c r="N7" s="31" t="s">
        <v>141</v>
      </c>
      <c r="O7" s="31" t="s">
        <v>547</v>
      </c>
      <c r="P7" s="21">
        <v>480</v>
      </c>
      <c r="Q7" s="22">
        <f>P7*0.4</f>
        <v>192</v>
      </c>
      <c r="R7" s="23">
        <v>240</v>
      </c>
      <c r="S7" s="158">
        <f t="shared" si="0"/>
        <v>96</v>
      </c>
      <c r="T7" s="24">
        <v>226.5</v>
      </c>
      <c r="U7" s="25">
        <f t="shared" si="1"/>
        <v>90.600000000000009</v>
      </c>
      <c r="V7" s="32">
        <f>P7+R7+T7</f>
        <v>946.5</v>
      </c>
      <c r="W7" s="32">
        <f>V7*0.4</f>
        <v>378.6</v>
      </c>
      <c r="X7" s="110">
        <v>85</v>
      </c>
      <c r="Y7" s="160"/>
      <c r="Z7" s="33">
        <f t="shared" si="2"/>
        <v>40800</v>
      </c>
      <c r="AA7" s="33">
        <f t="shared" si="3"/>
        <v>16320</v>
      </c>
      <c r="AB7" s="33">
        <f t="shared" si="4"/>
        <v>20400</v>
      </c>
      <c r="AC7" s="33">
        <f t="shared" si="5"/>
        <v>8160</v>
      </c>
      <c r="AD7" s="33">
        <f t="shared" si="6"/>
        <v>19252.5</v>
      </c>
      <c r="AE7" s="33">
        <f t="shared" si="7"/>
        <v>7701.0000000000009</v>
      </c>
      <c r="AF7" s="33">
        <f t="shared" si="8"/>
        <v>80452.5</v>
      </c>
      <c r="AG7" s="33">
        <f t="shared" si="9"/>
        <v>32181.000000000004</v>
      </c>
    </row>
    <row r="8" spans="1:33" ht="10" customHeight="1">
      <c r="A8" s="16">
        <v>5</v>
      </c>
      <c r="B8" s="123" t="s">
        <v>178</v>
      </c>
      <c r="C8" s="17" t="s">
        <v>0</v>
      </c>
      <c r="D8" s="17" t="s">
        <v>66</v>
      </c>
      <c r="E8" s="17" t="s">
        <v>24</v>
      </c>
      <c r="F8" s="17" t="s">
        <v>3</v>
      </c>
      <c r="G8" s="199" t="str">
        <f>IF(H8="","",IF(ISNUMBER(SEARCH(" ",H8)),LEFT(H8,1)&amp;MID(H8,SEARCH(" ",H8)+1,1)&amp;IFERROR(MID(H8,SEARCH(" ",H8,SEARCH(" ",H8)+1)+1,1),""),LEFT(H8,3)))&amp;IF(I8="","","-"&amp;IF(ISNUMBER(SEARCH(" ",I8)),LEFT(I8,1)&amp;MID(I8,SEARCH(" ",I8)+1,1)&amp;IFERROR(MID(I8,SEARCH(" ",I8,SEARCH(" ",I8)+1)+1,1),""),LEFT(I8,3)))&amp;IF(D8="","","-"&amp;D8)&amp;"-"&amp;TEXT(COUNTIF($H$4:H8,H8),"000")</f>
        <v>C&amp;E-SAL-701-005</v>
      </c>
      <c r="H8" s="17" t="s">
        <v>606</v>
      </c>
      <c r="I8" s="17" t="s">
        <v>612</v>
      </c>
      <c r="J8" s="18" t="s">
        <v>348</v>
      </c>
      <c r="K8" s="19" t="s">
        <v>518</v>
      </c>
      <c r="L8" s="20" t="s">
        <v>135</v>
      </c>
      <c r="M8" s="20" t="s">
        <v>139</v>
      </c>
      <c r="N8" s="20" t="s">
        <v>141</v>
      </c>
      <c r="O8" s="20" t="s">
        <v>548</v>
      </c>
      <c r="P8" s="21">
        <v>0</v>
      </c>
      <c r="Q8" s="22">
        <f>P8*0.4</f>
        <v>0</v>
      </c>
      <c r="R8" s="23">
        <v>0</v>
      </c>
      <c r="S8" s="158">
        <f t="shared" si="0"/>
        <v>0</v>
      </c>
      <c r="T8" s="24">
        <v>54</v>
      </c>
      <c r="U8" s="25">
        <f t="shared" si="1"/>
        <v>21.6</v>
      </c>
      <c r="V8" s="26">
        <f>P8+R8+T8</f>
        <v>54</v>
      </c>
      <c r="W8" s="26">
        <f>V8*0.4</f>
        <v>21.6</v>
      </c>
      <c r="X8" s="109">
        <v>169</v>
      </c>
      <c r="Y8" s="160"/>
      <c r="Z8" s="27">
        <f t="shared" si="2"/>
        <v>0</v>
      </c>
      <c r="AA8" s="27">
        <f t="shared" si="3"/>
        <v>0</v>
      </c>
      <c r="AB8" s="27">
        <f t="shared" si="4"/>
        <v>0</v>
      </c>
      <c r="AC8" s="27">
        <f t="shared" si="5"/>
        <v>0</v>
      </c>
      <c r="AD8" s="27">
        <f t="shared" si="6"/>
        <v>9126</v>
      </c>
      <c r="AE8" s="27">
        <f t="shared" si="7"/>
        <v>3650.4</v>
      </c>
      <c r="AF8" s="27">
        <f t="shared" si="8"/>
        <v>9126</v>
      </c>
      <c r="AG8" s="27">
        <f t="shared" si="9"/>
        <v>3650.4</v>
      </c>
    </row>
    <row r="9" spans="1:33" ht="10" customHeight="1">
      <c r="A9" s="34">
        <v>6</v>
      </c>
      <c r="B9" s="125" t="s">
        <v>178</v>
      </c>
      <c r="C9" s="35" t="s">
        <v>0</v>
      </c>
      <c r="D9" s="35" t="s">
        <v>86</v>
      </c>
      <c r="E9" s="35" t="s">
        <v>60</v>
      </c>
      <c r="F9" s="35" t="s">
        <v>21</v>
      </c>
      <c r="G9" s="199" t="str">
        <f>IF(H9="","",IF(ISNUMBER(SEARCH(" ",H9)),LEFT(H9,1)&amp;MID(H9,SEARCH(" ",H9)+1,1)&amp;IFERROR(MID(H9,SEARCH(" ",H9,SEARCH(" ",H9)+1)+1,1),""),LEFT(H9,3)))&amp;IF(I9="","","-"&amp;IF(ISNUMBER(SEARCH(" ",I9)),LEFT(I9,1)&amp;MID(I9,SEARCH(" ",I9)+1,1)&amp;IFERROR(MID(I9,SEARCH(" ",I9,SEARCH(" ",I9)+1)+1,1),""),LEFT(I9,3)))&amp;IF(D9="","","-"&amp;D9)&amp;"-"&amp;TEXT(COUNTIF($H$4:H9,H9),"000")</f>
        <v>LYD-LL-202-001</v>
      </c>
      <c r="H9" s="35" t="s">
        <v>605</v>
      </c>
      <c r="I9" s="35" t="s">
        <v>613</v>
      </c>
      <c r="J9" s="36" t="s">
        <v>349</v>
      </c>
      <c r="K9" s="37" t="s">
        <v>194</v>
      </c>
      <c r="L9" s="38" t="s">
        <v>135</v>
      </c>
      <c r="M9" s="38" t="s">
        <v>671</v>
      </c>
      <c r="N9" s="38" t="s">
        <v>312</v>
      </c>
      <c r="O9" s="38" t="s">
        <v>519</v>
      </c>
      <c r="P9" s="39">
        <v>1680</v>
      </c>
      <c r="Q9" s="40">
        <f>(P9*0.4)</f>
        <v>672</v>
      </c>
      <c r="R9" s="23">
        <v>780</v>
      </c>
      <c r="S9" s="158">
        <f t="shared" si="0"/>
        <v>312</v>
      </c>
      <c r="T9" s="41">
        <v>544.5</v>
      </c>
      <c r="U9" s="25">
        <f t="shared" si="1"/>
        <v>217.8</v>
      </c>
      <c r="V9" s="42">
        <v>3004</v>
      </c>
      <c r="W9" s="43">
        <v>1201</v>
      </c>
      <c r="X9" s="111">
        <v>52.5</v>
      </c>
      <c r="Y9" s="160"/>
      <c r="Z9" s="44">
        <f t="shared" si="2"/>
        <v>88200</v>
      </c>
      <c r="AA9" s="44">
        <f t="shared" si="3"/>
        <v>35280</v>
      </c>
      <c r="AB9" s="44">
        <f t="shared" si="4"/>
        <v>40950</v>
      </c>
      <c r="AC9" s="44">
        <f t="shared" si="5"/>
        <v>16380</v>
      </c>
      <c r="AD9" s="44">
        <f t="shared" si="6"/>
        <v>28586.25</v>
      </c>
      <c r="AE9" s="44">
        <f t="shared" si="7"/>
        <v>11434.5</v>
      </c>
      <c r="AF9" s="44">
        <f t="shared" si="8"/>
        <v>157710</v>
      </c>
      <c r="AG9" s="44">
        <f t="shared" si="9"/>
        <v>63052.5</v>
      </c>
    </row>
    <row r="10" spans="1:33" ht="10" customHeight="1">
      <c r="A10" s="34">
        <v>7</v>
      </c>
      <c r="B10" s="124" t="s">
        <v>178</v>
      </c>
      <c r="C10" s="28" t="s">
        <v>0</v>
      </c>
      <c r="D10" s="28" t="s">
        <v>63</v>
      </c>
      <c r="E10" s="28" t="s">
        <v>64</v>
      </c>
      <c r="F10" s="28" t="s">
        <v>3</v>
      </c>
      <c r="G10" s="199" t="str">
        <f>IF(H10="","",IF(ISNUMBER(SEARCH(" ",H10)),LEFT(H10,1)&amp;MID(H10,SEARCH(" ",H10)+1,1)&amp;IFERROR(MID(H10,SEARCH(" ",H10,SEARCH(" ",H10)+1)+1,1),""),LEFT(H10,3)))&amp;IF(I10="","","-"&amp;IF(ISNUMBER(SEARCH(" ",I10)),LEFT(I10,1)&amp;MID(I10,SEARCH(" ",I10)+1,1)&amp;IFERROR(MID(I10,SEARCH(" ",I10,SEARCH(" ",I10)+1)+1,1),""),LEFT(I10,3)))&amp;IF(D10="","","-"&amp;D10)&amp;"-"&amp;TEXT(COUNTIF($H$4:H10,H10),"000")</f>
        <v>LYD-LL-201-002</v>
      </c>
      <c r="H10" s="35" t="s">
        <v>605</v>
      </c>
      <c r="I10" s="28" t="s">
        <v>613</v>
      </c>
      <c r="J10" s="29" t="s">
        <v>350</v>
      </c>
      <c r="K10" s="30" t="s">
        <v>195</v>
      </c>
      <c r="L10" s="31" t="s">
        <v>135</v>
      </c>
      <c r="M10" s="31" t="s">
        <v>136</v>
      </c>
      <c r="N10" s="31" t="s">
        <v>314</v>
      </c>
      <c r="O10" s="31" t="s">
        <v>550</v>
      </c>
      <c r="P10" s="45">
        <v>0</v>
      </c>
      <c r="Q10" s="40">
        <f>(P10*0.4)</f>
        <v>0</v>
      </c>
      <c r="R10" s="23">
        <v>0</v>
      </c>
      <c r="S10" s="158">
        <f t="shared" si="0"/>
        <v>0</v>
      </c>
      <c r="T10" s="24">
        <v>0</v>
      </c>
      <c r="U10" s="25">
        <f t="shared" si="1"/>
        <v>0</v>
      </c>
      <c r="V10" s="32">
        <v>0</v>
      </c>
      <c r="W10" s="32">
        <f>Q10+S10+U10</f>
        <v>0</v>
      </c>
      <c r="X10" s="105">
        <v>31.2</v>
      </c>
      <c r="Y10" s="160"/>
      <c r="Z10" s="33">
        <f t="shared" si="2"/>
        <v>0</v>
      </c>
      <c r="AA10" s="33">
        <f t="shared" si="3"/>
        <v>0</v>
      </c>
      <c r="AB10" s="33">
        <f t="shared" si="4"/>
        <v>0</v>
      </c>
      <c r="AC10" s="33">
        <f t="shared" si="5"/>
        <v>0</v>
      </c>
      <c r="AD10" s="33">
        <f t="shared" si="6"/>
        <v>0</v>
      </c>
      <c r="AE10" s="33">
        <f t="shared" si="7"/>
        <v>0</v>
      </c>
      <c r="AF10" s="33">
        <f t="shared" si="8"/>
        <v>0</v>
      </c>
      <c r="AG10" s="33">
        <f t="shared" si="9"/>
        <v>0</v>
      </c>
    </row>
    <row r="11" spans="1:33" ht="10" customHeight="1">
      <c r="A11" s="34">
        <v>8</v>
      </c>
      <c r="B11" s="125" t="s">
        <v>178</v>
      </c>
      <c r="C11" s="35" t="s">
        <v>0</v>
      </c>
      <c r="D11" s="35" t="s">
        <v>63</v>
      </c>
      <c r="E11" s="35" t="s">
        <v>48</v>
      </c>
      <c r="F11" s="35" t="s">
        <v>3</v>
      </c>
      <c r="G11" s="199" t="str">
        <f>IF(H11="","",IF(ISNUMBER(SEARCH(" ",H11)),LEFT(H11,1)&amp;MID(H11,SEARCH(" ",H11)+1,1)&amp;IFERROR(MID(H11,SEARCH(" ",H11,SEARCH(" ",H11)+1)+1,1),""),LEFT(H11,3)))&amp;IF(I11="","","-"&amp;IF(ISNUMBER(SEARCH(" ",I11)),LEFT(I11,1)&amp;MID(I11,SEARCH(" ",I11)+1,1)&amp;IFERROR(MID(I11,SEARCH(" ",I11,SEARCH(" ",I11)+1)+1,1),""),LEFT(I11,3)))&amp;IF(D11="","","-"&amp;D11)&amp;"-"&amp;TEXT(COUNTIF($H$4:H11,H11),"000")</f>
        <v>LYD-LL-201-003</v>
      </c>
      <c r="H11" s="35" t="s">
        <v>605</v>
      </c>
      <c r="I11" s="35" t="s">
        <v>613</v>
      </c>
      <c r="J11" s="36" t="s">
        <v>351</v>
      </c>
      <c r="K11" s="37" t="s">
        <v>196</v>
      </c>
      <c r="L11" s="38" t="s">
        <v>135</v>
      </c>
      <c r="M11" s="38" t="s">
        <v>136</v>
      </c>
      <c r="N11" s="38" t="s">
        <v>314</v>
      </c>
      <c r="O11" s="38" t="s">
        <v>550</v>
      </c>
      <c r="P11" s="39">
        <v>1440</v>
      </c>
      <c r="Q11" s="40">
        <f>(P11*0.4)</f>
        <v>576</v>
      </c>
      <c r="R11" s="23">
        <v>2280</v>
      </c>
      <c r="S11" s="158">
        <f t="shared" si="0"/>
        <v>912</v>
      </c>
      <c r="T11" s="24">
        <v>4402.5</v>
      </c>
      <c r="U11" s="25">
        <f t="shared" si="1"/>
        <v>1761</v>
      </c>
      <c r="V11" s="42">
        <f>P11+R11+T11</f>
        <v>8122.5</v>
      </c>
      <c r="W11" s="42">
        <f>V11*0.4</f>
        <v>3249</v>
      </c>
      <c r="X11" s="111">
        <v>31.2</v>
      </c>
      <c r="Y11" s="160"/>
      <c r="Z11" s="44">
        <f t="shared" si="2"/>
        <v>44928</v>
      </c>
      <c r="AA11" s="44">
        <f t="shared" si="3"/>
        <v>17971.2</v>
      </c>
      <c r="AB11" s="44">
        <f t="shared" si="4"/>
        <v>71136</v>
      </c>
      <c r="AC11" s="44">
        <f t="shared" si="5"/>
        <v>28454.399999999998</v>
      </c>
      <c r="AD11" s="44">
        <f t="shared" si="6"/>
        <v>137358</v>
      </c>
      <c r="AE11" s="44">
        <f t="shared" si="7"/>
        <v>54943.199999999997</v>
      </c>
      <c r="AF11" s="44">
        <f t="shared" si="8"/>
        <v>253422</v>
      </c>
      <c r="AG11" s="44">
        <f t="shared" si="9"/>
        <v>101368.8</v>
      </c>
    </row>
    <row r="12" spans="1:33" ht="10" customHeight="1">
      <c r="A12" s="34">
        <v>9</v>
      </c>
      <c r="B12" s="124" t="s">
        <v>178</v>
      </c>
      <c r="C12" s="28" t="s">
        <v>0</v>
      </c>
      <c r="D12" s="120" t="s">
        <v>66</v>
      </c>
      <c r="E12" s="28" t="s">
        <v>16</v>
      </c>
      <c r="F12" s="28" t="s">
        <v>3</v>
      </c>
      <c r="G12" s="199" t="str">
        <f>IF(H12="","",IF(ISNUMBER(SEARCH(" ",H12)),LEFT(H12,1)&amp;MID(H12,SEARCH(" ",H12)+1,1)&amp;IFERROR(MID(H12,SEARCH(" ",H12,SEARCH(" ",H12)+1)+1,1),""),LEFT(H12,3)))&amp;IF(I12="","","-"&amp;IF(ISNUMBER(SEARCH(" ",I12)),LEFT(I12,1)&amp;MID(I12,SEARCH(" ",I12)+1,1)&amp;IFERROR(MID(I12,SEARCH(" ",I12,SEARCH(" ",I12)+1)+1,1),""),LEFT(I12,3)))&amp;IF(D12="","","-"&amp;D12)&amp;"-"&amp;TEXT(COUNTIF($H$4:H12,H12),"000")</f>
        <v>LYD-LL-701-004</v>
      </c>
      <c r="H12" s="35" t="s">
        <v>605</v>
      </c>
      <c r="I12" s="120" t="s">
        <v>613</v>
      </c>
      <c r="J12" s="29" t="s">
        <v>352</v>
      </c>
      <c r="K12" s="30" t="s">
        <v>197</v>
      </c>
      <c r="L12" s="46" t="s">
        <v>135</v>
      </c>
      <c r="M12" s="31" t="s">
        <v>161</v>
      </c>
      <c r="N12" s="31" t="s">
        <v>312</v>
      </c>
      <c r="O12" s="31" t="s">
        <v>550</v>
      </c>
      <c r="P12" s="45">
        <v>0</v>
      </c>
      <c r="Q12" s="40">
        <f>(P12*0.4)</f>
        <v>0</v>
      </c>
      <c r="R12" s="23">
        <v>0</v>
      </c>
      <c r="S12" s="158">
        <f t="shared" si="0"/>
        <v>0</v>
      </c>
      <c r="T12" s="24">
        <v>52.5</v>
      </c>
      <c r="U12" s="25">
        <f t="shared" si="1"/>
        <v>21</v>
      </c>
      <c r="V12" s="32">
        <f>P12+R12+T12</f>
        <v>52.5</v>
      </c>
      <c r="W12" s="32">
        <v>21</v>
      </c>
      <c r="X12" s="110">
        <v>23.2</v>
      </c>
      <c r="Y12" s="160"/>
      <c r="Z12" s="33">
        <f t="shared" si="2"/>
        <v>0</v>
      </c>
      <c r="AA12" s="33">
        <f t="shared" si="3"/>
        <v>0</v>
      </c>
      <c r="AB12" s="33">
        <f t="shared" si="4"/>
        <v>0</v>
      </c>
      <c r="AC12" s="33">
        <f t="shared" si="5"/>
        <v>0</v>
      </c>
      <c r="AD12" s="33">
        <f t="shared" si="6"/>
        <v>1218</v>
      </c>
      <c r="AE12" s="33">
        <f t="shared" si="7"/>
        <v>487.2</v>
      </c>
      <c r="AF12" s="33">
        <f t="shared" si="8"/>
        <v>1218</v>
      </c>
      <c r="AG12" s="33">
        <f t="shared" si="9"/>
        <v>487.2</v>
      </c>
    </row>
    <row r="13" spans="1:33" ht="10" customHeight="1">
      <c r="A13" s="47">
        <v>10</v>
      </c>
      <c r="B13" s="126" t="s">
        <v>178</v>
      </c>
      <c r="C13" s="48" t="s">
        <v>0</v>
      </c>
      <c r="D13" s="48" t="s">
        <v>46</v>
      </c>
      <c r="E13" s="48" t="s">
        <v>7</v>
      </c>
      <c r="F13" s="48" t="s">
        <v>3</v>
      </c>
      <c r="G13" s="199" t="str">
        <f>IF(H13="","",IF(ISNUMBER(SEARCH(" ",H13)),LEFT(H13,1)&amp;MID(H13,SEARCH(" ",H13)+1,1)&amp;IFERROR(MID(H13,SEARCH(" ",H13,SEARCH(" ",H13)+1)+1,1),""),LEFT(H13,3)))&amp;IF(I13="","","-"&amp;IF(ISNUMBER(SEARCH(" ",I13)),LEFT(I13,1)&amp;MID(I13,SEARCH(" ",I13)+1,1)&amp;IFERROR(MID(I13,SEARCH(" ",I13,SEARCH(" ",I13)+1)+1,1),""),LEFT(I13,3)))&amp;IF(D13="","","-"&amp;D13)&amp;"-"&amp;TEXT(COUNTIF($H$4:H13,H13),"000")</f>
        <v>FYV-FEE-301-001</v>
      </c>
      <c r="H13" s="48" t="s">
        <v>607</v>
      </c>
      <c r="I13" s="48" t="s">
        <v>659</v>
      </c>
      <c r="J13" s="49" t="s">
        <v>353</v>
      </c>
      <c r="K13" s="50" t="s">
        <v>198</v>
      </c>
      <c r="L13" s="51" t="s">
        <v>141</v>
      </c>
      <c r="M13" s="51" t="s">
        <v>174</v>
      </c>
      <c r="N13" s="51" t="s">
        <v>141</v>
      </c>
      <c r="O13" s="51" t="s">
        <v>524</v>
      </c>
      <c r="P13" s="39">
        <v>0</v>
      </c>
      <c r="Q13" s="40">
        <f>P13*0.4</f>
        <v>0</v>
      </c>
      <c r="R13" s="23">
        <v>0</v>
      </c>
      <c r="S13" s="158">
        <f>R13*0.4</f>
        <v>0</v>
      </c>
      <c r="T13" s="24">
        <v>0</v>
      </c>
      <c r="U13" s="52">
        <f>T13*0.4</f>
        <v>0</v>
      </c>
      <c r="V13" s="53">
        <f t="shared" ref="V13:V76" si="10">P13+R13+T13</f>
        <v>0</v>
      </c>
      <c r="W13" s="53">
        <f>SUM(Q13+S13+U13)</f>
        <v>0</v>
      </c>
      <c r="X13" s="106">
        <v>14.2</v>
      </c>
      <c r="Y13" s="160"/>
      <c r="Z13" s="54">
        <f t="shared" si="2"/>
        <v>0</v>
      </c>
      <c r="AA13" s="54">
        <f t="shared" si="3"/>
        <v>0</v>
      </c>
      <c r="AB13" s="54">
        <f t="shared" si="4"/>
        <v>0</v>
      </c>
      <c r="AC13" s="54">
        <f t="shared" si="5"/>
        <v>0</v>
      </c>
      <c r="AD13" s="54">
        <f t="shared" si="6"/>
        <v>0</v>
      </c>
      <c r="AE13" s="54">
        <f t="shared" si="7"/>
        <v>0</v>
      </c>
      <c r="AF13" s="54">
        <f t="shared" si="8"/>
        <v>0</v>
      </c>
      <c r="AG13" s="54">
        <f t="shared" si="9"/>
        <v>0</v>
      </c>
    </row>
    <row r="14" spans="1:33" ht="10" customHeight="1">
      <c r="A14" s="47">
        <v>11</v>
      </c>
      <c r="B14" s="124" t="s">
        <v>178</v>
      </c>
      <c r="C14" s="28" t="s">
        <v>0</v>
      </c>
      <c r="D14" s="28" t="s">
        <v>46</v>
      </c>
      <c r="E14" s="28" t="s">
        <v>50</v>
      </c>
      <c r="F14" s="28" t="s">
        <v>3</v>
      </c>
      <c r="G14" s="199" t="str">
        <f>IF(H14="","",IF(ISNUMBER(SEARCH(" ",H14)),LEFT(H14,1)&amp;MID(H14,SEARCH(" ",H14)+1,1)&amp;IFERROR(MID(H14,SEARCH(" ",H14,SEARCH(" ",H14)+1)+1,1),""),LEFT(H14,3)))&amp;IF(I14="","","-"&amp;IF(ISNUMBER(SEARCH(" ",I14)),LEFT(I14,1)&amp;MID(I14,SEARCH(" ",I14)+1,1)&amp;IFERROR(MID(I14,SEARCH(" ",I14,SEARCH(" ",I14)+1)+1,1),""),LEFT(I14,3)))&amp;IF(D14="","","-"&amp;D14)&amp;"-"&amp;TEXT(COUNTIF($H$4:H14,H14),"000")</f>
        <v>FYV-FEE-301-002</v>
      </c>
      <c r="H14" s="48" t="s">
        <v>607</v>
      </c>
      <c r="I14" s="28" t="s">
        <v>659</v>
      </c>
      <c r="J14" s="29" t="s">
        <v>354</v>
      </c>
      <c r="K14" s="30" t="s">
        <v>315</v>
      </c>
      <c r="L14" s="31" t="s">
        <v>141</v>
      </c>
      <c r="M14" s="31" t="s">
        <v>174</v>
      </c>
      <c r="N14" s="31" t="s">
        <v>141</v>
      </c>
      <c r="O14" s="31" t="s">
        <v>524</v>
      </c>
      <c r="P14" s="39">
        <v>160.5</v>
      </c>
      <c r="Q14" s="40">
        <f t="shared" ref="Q14:Q77" si="11">P14*0.4</f>
        <v>64.2</v>
      </c>
      <c r="R14" s="23">
        <v>120</v>
      </c>
      <c r="S14" s="158">
        <f>R14*0.4</f>
        <v>48</v>
      </c>
      <c r="T14" s="41">
        <v>424</v>
      </c>
      <c r="U14" s="25">
        <f>(T14*0.4)</f>
        <v>169.60000000000002</v>
      </c>
      <c r="V14" s="32">
        <f t="shared" si="10"/>
        <v>704.5</v>
      </c>
      <c r="W14" s="32">
        <f>V14*0.4</f>
        <v>281.8</v>
      </c>
      <c r="X14" s="110">
        <v>74</v>
      </c>
      <c r="Y14" s="160"/>
      <c r="Z14" s="33">
        <f t="shared" si="2"/>
        <v>11877</v>
      </c>
      <c r="AA14" s="33">
        <f t="shared" si="3"/>
        <v>4750.8</v>
      </c>
      <c r="AB14" s="33">
        <f t="shared" si="4"/>
        <v>8880</v>
      </c>
      <c r="AC14" s="33">
        <f t="shared" si="5"/>
        <v>3552</v>
      </c>
      <c r="AD14" s="33">
        <f t="shared" si="6"/>
        <v>31376</v>
      </c>
      <c r="AE14" s="33">
        <f t="shared" si="7"/>
        <v>12550.400000000001</v>
      </c>
      <c r="AF14" s="33">
        <f t="shared" si="8"/>
        <v>52133</v>
      </c>
      <c r="AG14" s="33">
        <f t="shared" si="9"/>
        <v>20853.2</v>
      </c>
    </row>
    <row r="15" spans="1:33" ht="10" customHeight="1">
      <c r="A15" s="47">
        <v>12</v>
      </c>
      <c r="B15" s="126" t="s">
        <v>178</v>
      </c>
      <c r="C15" s="48" t="s">
        <v>0</v>
      </c>
      <c r="D15" s="48" t="s">
        <v>46</v>
      </c>
      <c r="E15" s="48" t="s">
        <v>87</v>
      </c>
      <c r="F15" s="48" t="s">
        <v>3</v>
      </c>
      <c r="G15" s="199" t="str">
        <f>IF(H15="","",IF(ISNUMBER(SEARCH(" ",H15)),LEFT(H15,1)&amp;MID(H15,SEARCH(" ",H15)+1,1)&amp;IFERROR(MID(H15,SEARCH(" ",H15,SEARCH(" ",H15)+1)+1,1),""),LEFT(H15,3)))&amp;IF(I15="","","-"&amp;IF(ISNUMBER(SEARCH(" ",I15)),LEFT(I15,1)&amp;MID(I15,SEARCH(" ",I15)+1,1)&amp;IFERROR(MID(I15,SEARCH(" ",I15,SEARCH(" ",I15)+1)+1,1),""),LEFT(I15,3)))&amp;IF(D15="","","-"&amp;D15)&amp;"-"&amp;TEXT(COUNTIF($H$4:H15,H15),"000")</f>
        <v>FYV-FEE-301-003</v>
      </c>
      <c r="H15" s="48" t="s">
        <v>607</v>
      </c>
      <c r="I15" s="48" t="s">
        <v>659</v>
      </c>
      <c r="J15" s="49" t="s">
        <v>355</v>
      </c>
      <c r="K15" s="50" t="s">
        <v>316</v>
      </c>
      <c r="L15" s="51" t="s">
        <v>141</v>
      </c>
      <c r="M15" s="51" t="s">
        <v>174</v>
      </c>
      <c r="N15" s="51" t="s">
        <v>141</v>
      </c>
      <c r="O15" s="51" t="s">
        <v>524</v>
      </c>
      <c r="P15" s="39">
        <v>6555</v>
      </c>
      <c r="Q15" s="40">
        <f t="shared" si="11"/>
        <v>2622</v>
      </c>
      <c r="R15" s="23">
        <v>2400</v>
      </c>
      <c r="S15" s="158">
        <f t="shared" ref="S15:S78" si="12">R15*0.4</f>
        <v>960</v>
      </c>
      <c r="T15" s="24">
        <v>1219</v>
      </c>
      <c r="U15" s="25">
        <f t="shared" ref="U15:U78" si="13">(T15*0.4)</f>
        <v>487.6</v>
      </c>
      <c r="V15" s="53">
        <f t="shared" si="10"/>
        <v>10174</v>
      </c>
      <c r="W15" s="53">
        <f t="shared" ref="W15:W78" si="14">V15*0.4</f>
        <v>4069.6000000000004</v>
      </c>
      <c r="X15" s="112">
        <v>54</v>
      </c>
      <c r="Y15" s="160"/>
      <c r="Z15" s="54">
        <f t="shared" si="2"/>
        <v>353970</v>
      </c>
      <c r="AA15" s="54">
        <f t="shared" si="3"/>
        <v>141588</v>
      </c>
      <c r="AB15" s="54">
        <f t="shared" si="4"/>
        <v>129600</v>
      </c>
      <c r="AC15" s="54">
        <f t="shared" si="5"/>
        <v>51840</v>
      </c>
      <c r="AD15" s="54">
        <f t="shared" si="6"/>
        <v>65826</v>
      </c>
      <c r="AE15" s="54">
        <f t="shared" si="7"/>
        <v>26330.400000000001</v>
      </c>
      <c r="AF15" s="54">
        <f t="shared" si="8"/>
        <v>549396</v>
      </c>
      <c r="AG15" s="54">
        <f t="shared" si="9"/>
        <v>219758.40000000002</v>
      </c>
    </row>
    <row r="16" spans="1:33" ht="10" customHeight="1">
      <c r="A16" s="47">
        <v>13</v>
      </c>
      <c r="B16" s="124" t="s">
        <v>178</v>
      </c>
      <c r="C16" s="28" t="s">
        <v>0</v>
      </c>
      <c r="D16" s="28" t="s">
        <v>46</v>
      </c>
      <c r="E16" s="28" t="s">
        <v>61</v>
      </c>
      <c r="F16" s="28" t="s">
        <v>3</v>
      </c>
      <c r="G16" s="199" t="str">
        <f>IF(H16="","",IF(ISNUMBER(SEARCH(" ",H16)),LEFT(H16,1)&amp;MID(H16,SEARCH(" ",H16)+1,1)&amp;IFERROR(MID(H16,SEARCH(" ",H16,SEARCH(" ",H16)+1)+1,1),""),LEFT(H16,3)))&amp;IF(I16="","","-"&amp;IF(ISNUMBER(SEARCH(" ",I16)),LEFT(I16,1)&amp;MID(I16,SEARCH(" ",I16)+1,1)&amp;IFERROR(MID(I16,SEARCH(" ",I16,SEARCH(" ",I16)+1)+1,1),""),LEFT(I16,3)))&amp;IF(D16="","","-"&amp;D16)&amp;"-"&amp;TEXT(COUNTIF($H$4:H16,H16),"000")</f>
        <v>FYV-FEE-301-004</v>
      </c>
      <c r="H16" s="48" t="s">
        <v>607</v>
      </c>
      <c r="I16" s="28" t="s">
        <v>659</v>
      </c>
      <c r="J16" s="29" t="s">
        <v>356</v>
      </c>
      <c r="K16" s="30" t="s">
        <v>520</v>
      </c>
      <c r="L16" s="31" t="s">
        <v>141</v>
      </c>
      <c r="M16" s="31" t="s">
        <v>174</v>
      </c>
      <c r="N16" s="31" t="s">
        <v>141</v>
      </c>
      <c r="O16" s="31" t="s">
        <v>524</v>
      </c>
      <c r="P16" s="39">
        <v>216</v>
      </c>
      <c r="Q16" s="40">
        <f t="shared" si="11"/>
        <v>86.4</v>
      </c>
      <c r="R16" s="23">
        <v>60</v>
      </c>
      <c r="S16" s="158">
        <f t="shared" si="12"/>
        <v>24</v>
      </c>
      <c r="T16" s="24">
        <v>96</v>
      </c>
      <c r="U16" s="25">
        <f t="shared" si="13"/>
        <v>38.400000000000006</v>
      </c>
      <c r="V16" s="32">
        <f t="shared" si="10"/>
        <v>372</v>
      </c>
      <c r="W16" s="32">
        <f t="shared" si="14"/>
        <v>148.80000000000001</v>
      </c>
      <c r="X16" s="110">
        <v>14</v>
      </c>
      <c r="Y16" s="160"/>
      <c r="Z16" s="33">
        <f t="shared" si="2"/>
        <v>3024</v>
      </c>
      <c r="AA16" s="33">
        <f t="shared" si="3"/>
        <v>1209.6000000000001</v>
      </c>
      <c r="AB16" s="33">
        <f t="shared" si="4"/>
        <v>840</v>
      </c>
      <c r="AC16" s="33">
        <f t="shared" si="5"/>
        <v>336</v>
      </c>
      <c r="AD16" s="33">
        <f t="shared" si="6"/>
        <v>1344</v>
      </c>
      <c r="AE16" s="33">
        <f t="shared" si="7"/>
        <v>537.60000000000014</v>
      </c>
      <c r="AF16" s="33">
        <f t="shared" si="8"/>
        <v>5208</v>
      </c>
      <c r="AG16" s="33">
        <f t="shared" si="9"/>
        <v>2083.2000000000003</v>
      </c>
    </row>
    <row r="17" spans="1:33" ht="10" customHeight="1">
      <c r="A17" s="47">
        <v>14</v>
      </c>
      <c r="B17" s="126" t="s">
        <v>178</v>
      </c>
      <c r="C17" s="48" t="s">
        <v>0</v>
      </c>
      <c r="D17" s="48" t="s">
        <v>46</v>
      </c>
      <c r="E17" s="48" t="s">
        <v>31</v>
      </c>
      <c r="F17" s="48" t="s">
        <v>3</v>
      </c>
      <c r="G17" s="199" t="str">
        <f>IF(H17="","",IF(ISNUMBER(SEARCH(" ",H17)),LEFT(H17,1)&amp;MID(H17,SEARCH(" ",H17)+1,1)&amp;IFERROR(MID(H17,SEARCH(" ",H17,SEARCH(" ",H17)+1)+1,1),""),LEFT(H17,3)))&amp;IF(I17="","","-"&amp;IF(ISNUMBER(SEARCH(" ",I17)),LEFT(I17,1)&amp;MID(I17,SEARCH(" ",I17)+1,1)&amp;IFERROR(MID(I17,SEARCH(" ",I17,SEARCH(" ",I17)+1)+1,1),""),LEFT(I17,3)))&amp;IF(D17="","","-"&amp;D17)&amp;"-"&amp;TEXT(COUNTIF($H$4:H17,H17),"000")</f>
        <v>FYV-FEE-301-005</v>
      </c>
      <c r="H17" s="48" t="s">
        <v>607</v>
      </c>
      <c r="I17" s="48" t="s">
        <v>659</v>
      </c>
      <c r="J17" s="49" t="s">
        <v>357</v>
      </c>
      <c r="K17" s="50" t="s">
        <v>317</v>
      </c>
      <c r="L17" s="51" t="s">
        <v>141</v>
      </c>
      <c r="M17" s="51" t="s">
        <v>174</v>
      </c>
      <c r="N17" s="51" t="s">
        <v>141</v>
      </c>
      <c r="O17" s="51" t="s">
        <v>524</v>
      </c>
      <c r="P17" s="39">
        <v>0</v>
      </c>
      <c r="Q17" s="40">
        <f t="shared" si="11"/>
        <v>0</v>
      </c>
      <c r="R17" s="23">
        <v>405</v>
      </c>
      <c r="S17" s="158">
        <f t="shared" si="12"/>
        <v>162</v>
      </c>
      <c r="T17" s="24">
        <v>30</v>
      </c>
      <c r="U17" s="25">
        <f t="shared" si="13"/>
        <v>12</v>
      </c>
      <c r="V17" s="53">
        <f t="shared" si="10"/>
        <v>435</v>
      </c>
      <c r="W17" s="53">
        <f t="shared" si="14"/>
        <v>174</v>
      </c>
      <c r="X17" s="112">
        <v>17.5</v>
      </c>
      <c r="Y17" s="160"/>
      <c r="Z17" s="54">
        <f t="shared" si="2"/>
        <v>0</v>
      </c>
      <c r="AA17" s="54">
        <f t="shared" si="3"/>
        <v>0</v>
      </c>
      <c r="AB17" s="54">
        <f t="shared" si="4"/>
        <v>7087.5</v>
      </c>
      <c r="AC17" s="54">
        <f t="shared" si="5"/>
        <v>2835</v>
      </c>
      <c r="AD17" s="54">
        <f t="shared" si="6"/>
        <v>525</v>
      </c>
      <c r="AE17" s="54">
        <f t="shared" si="7"/>
        <v>210</v>
      </c>
      <c r="AF17" s="54">
        <f t="shared" si="8"/>
        <v>7612.5</v>
      </c>
      <c r="AG17" s="54">
        <f t="shared" si="9"/>
        <v>3045</v>
      </c>
    </row>
    <row r="18" spans="1:33" ht="10" customHeight="1">
      <c r="A18" s="47">
        <v>15</v>
      </c>
      <c r="B18" s="124" t="s">
        <v>178</v>
      </c>
      <c r="C18" s="28" t="s">
        <v>0</v>
      </c>
      <c r="D18" s="28" t="s">
        <v>46</v>
      </c>
      <c r="E18" s="28" t="s">
        <v>88</v>
      </c>
      <c r="F18" s="28" t="s">
        <v>3</v>
      </c>
      <c r="G18" s="199" t="str">
        <f>IF(H18="","",IF(ISNUMBER(SEARCH(" ",H18)),LEFT(H18,1)&amp;MID(H18,SEARCH(" ",H18)+1,1)&amp;IFERROR(MID(H18,SEARCH(" ",H18,SEARCH(" ",H18)+1)+1,1),""),LEFT(H18,3)))&amp;IF(I18="","","-"&amp;IF(ISNUMBER(SEARCH(" ",I18)),LEFT(I18,1)&amp;MID(I18,SEARCH(" ",I18)+1,1)&amp;IFERROR(MID(I18,SEARCH(" ",I18,SEARCH(" ",I18)+1)+1,1),""),LEFT(I18,3)))&amp;IF(D18="","","-"&amp;D18)&amp;"-"&amp;TEXT(COUNTIF($H$4:H18,H18),"000")</f>
        <v>FYV-FEE-301-006</v>
      </c>
      <c r="H18" s="48" t="s">
        <v>607</v>
      </c>
      <c r="I18" s="28" t="s">
        <v>659</v>
      </c>
      <c r="J18" s="29" t="s">
        <v>358</v>
      </c>
      <c r="K18" s="30" t="s">
        <v>521</v>
      </c>
      <c r="L18" s="31" t="s">
        <v>141</v>
      </c>
      <c r="M18" s="31" t="s">
        <v>174</v>
      </c>
      <c r="N18" s="31" t="s">
        <v>141</v>
      </c>
      <c r="O18" s="31" t="s">
        <v>524</v>
      </c>
      <c r="P18" s="39">
        <v>0</v>
      </c>
      <c r="Q18" s="40">
        <f t="shared" si="11"/>
        <v>0</v>
      </c>
      <c r="R18" s="23">
        <v>0</v>
      </c>
      <c r="S18" s="158">
        <f t="shared" si="12"/>
        <v>0</v>
      </c>
      <c r="T18" s="24">
        <v>54</v>
      </c>
      <c r="U18" s="25">
        <f t="shared" si="13"/>
        <v>21.6</v>
      </c>
      <c r="V18" s="32">
        <f t="shared" si="10"/>
        <v>54</v>
      </c>
      <c r="W18" s="32">
        <f t="shared" si="14"/>
        <v>21.6</v>
      </c>
      <c r="X18" s="110">
        <v>31</v>
      </c>
      <c r="Y18" s="160"/>
      <c r="Z18" s="33">
        <f t="shared" si="2"/>
        <v>0</v>
      </c>
      <c r="AA18" s="33">
        <f t="shared" si="3"/>
        <v>0</v>
      </c>
      <c r="AB18" s="33">
        <f t="shared" si="4"/>
        <v>0</v>
      </c>
      <c r="AC18" s="33">
        <f t="shared" si="5"/>
        <v>0</v>
      </c>
      <c r="AD18" s="33">
        <f t="shared" si="6"/>
        <v>1674</v>
      </c>
      <c r="AE18" s="33">
        <f t="shared" si="7"/>
        <v>669.6</v>
      </c>
      <c r="AF18" s="33">
        <f t="shared" si="8"/>
        <v>1674</v>
      </c>
      <c r="AG18" s="33">
        <f t="shared" si="9"/>
        <v>669.6</v>
      </c>
    </row>
    <row r="19" spans="1:33" ht="10" customHeight="1">
      <c r="A19" s="47">
        <v>16</v>
      </c>
      <c r="B19" s="126" t="s">
        <v>178</v>
      </c>
      <c r="C19" s="48" t="s">
        <v>0</v>
      </c>
      <c r="D19" s="48" t="s">
        <v>46</v>
      </c>
      <c r="E19" s="48" t="s">
        <v>89</v>
      </c>
      <c r="F19" s="48" t="s">
        <v>3</v>
      </c>
      <c r="G19" s="199" t="str">
        <f>IF(H19="","",IF(ISNUMBER(SEARCH(" ",H19)),LEFT(H19,1)&amp;MID(H19,SEARCH(" ",H19)+1,1)&amp;IFERROR(MID(H19,SEARCH(" ",H19,SEARCH(" ",H19)+1)+1,1),""),LEFT(H19,3)))&amp;IF(I19="","","-"&amp;IF(ISNUMBER(SEARCH(" ",I19)),LEFT(I19,1)&amp;MID(I19,SEARCH(" ",I19)+1,1)&amp;IFERROR(MID(I19,SEARCH(" ",I19,SEARCH(" ",I19)+1)+1,1),""),LEFT(I19,3)))&amp;IF(D19="","","-"&amp;D19)&amp;"-"&amp;TEXT(COUNTIF($H$4:H19,H19),"000")</f>
        <v>FYV-FEE-301-007</v>
      </c>
      <c r="H19" s="48" t="s">
        <v>607</v>
      </c>
      <c r="I19" s="48" t="s">
        <v>659</v>
      </c>
      <c r="J19" s="49" t="s">
        <v>359</v>
      </c>
      <c r="K19" s="50" t="s">
        <v>318</v>
      </c>
      <c r="L19" s="51" t="s">
        <v>141</v>
      </c>
      <c r="M19" s="51" t="s">
        <v>174</v>
      </c>
      <c r="N19" s="51" t="s">
        <v>141</v>
      </c>
      <c r="O19" s="51" t="s">
        <v>524</v>
      </c>
      <c r="P19" s="39">
        <v>0</v>
      </c>
      <c r="Q19" s="40">
        <f t="shared" si="11"/>
        <v>0</v>
      </c>
      <c r="R19" s="23">
        <v>165</v>
      </c>
      <c r="S19" s="158">
        <f t="shared" si="12"/>
        <v>66</v>
      </c>
      <c r="T19" s="24">
        <v>576</v>
      </c>
      <c r="U19" s="25">
        <f t="shared" si="13"/>
        <v>230.4</v>
      </c>
      <c r="V19" s="53">
        <f t="shared" si="10"/>
        <v>741</v>
      </c>
      <c r="W19" s="53">
        <f t="shared" si="14"/>
        <v>296.40000000000003</v>
      </c>
      <c r="X19" s="112">
        <v>65</v>
      </c>
      <c r="Y19" s="160"/>
      <c r="Z19" s="54">
        <f t="shared" si="2"/>
        <v>0</v>
      </c>
      <c r="AA19" s="54">
        <f t="shared" si="3"/>
        <v>0</v>
      </c>
      <c r="AB19" s="54">
        <f t="shared" si="4"/>
        <v>10725</v>
      </c>
      <c r="AC19" s="54">
        <f t="shared" si="5"/>
        <v>4290</v>
      </c>
      <c r="AD19" s="54">
        <f t="shared" si="6"/>
        <v>37440</v>
      </c>
      <c r="AE19" s="54">
        <f t="shared" si="7"/>
        <v>14976</v>
      </c>
      <c r="AF19" s="54">
        <f t="shared" si="8"/>
        <v>48165</v>
      </c>
      <c r="AG19" s="54">
        <f t="shared" si="9"/>
        <v>19266.000000000004</v>
      </c>
    </row>
    <row r="20" spans="1:33" ht="10" customHeight="1">
      <c r="A20" s="47">
        <v>17</v>
      </c>
      <c r="B20" s="124" t="s">
        <v>178</v>
      </c>
      <c r="C20" s="28" t="s">
        <v>0</v>
      </c>
      <c r="D20" s="28" t="s">
        <v>46</v>
      </c>
      <c r="E20" s="28" t="s">
        <v>90</v>
      </c>
      <c r="F20" s="28" t="s">
        <v>3</v>
      </c>
      <c r="G20" s="199" t="str">
        <f>IF(H20="","",IF(ISNUMBER(SEARCH(" ",H20)),LEFT(H20,1)&amp;MID(H20,SEARCH(" ",H20)+1,1)&amp;IFERROR(MID(H20,SEARCH(" ",H20,SEARCH(" ",H20)+1)+1,1),""),LEFT(H20,3)))&amp;IF(I20="","","-"&amp;IF(ISNUMBER(SEARCH(" ",I20)),LEFT(I20,1)&amp;MID(I20,SEARCH(" ",I20)+1,1)&amp;IFERROR(MID(I20,SEARCH(" ",I20,SEARCH(" ",I20)+1)+1,1),""),LEFT(I20,3)))&amp;IF(D20="","","-"&amp;D20)&amp;"-"&amp;TEXT(COUNTIF($H$4:H20,H20),"000")</f>
        <v>FYV-FEE-301-008</v>
      </c>
      <c r="H20" s="48" t="s">
        <v>607</v>
      </c>
      <c r="I20" s="28" t="s">
        <v>659</v>
      </c>
      <c r="J20" s="29" t="s">
        <v>360</v>
      </c>
      <c r="K20" s="30" t="s">
        <v>319</v>
      </c>
      <c r="L20" s="31" t="s">
        <v>141</v>
      </c>
      <c r="M20" s="31" t="s">
        <v>174</v>
      </c>
      <c r="N20" s="31" t="s">
        <v>141</v>
      </c>
      <c r="O20" s="31" t="s">
        <v>524</v>
      </c>
      <c r="P20" s="39">
        <v>18000</v>
      </c>
      <c r="Q20" s="40">
        <f t="shared" si="11"/>
        <v>7200</v>
      </c>
      <c r="R20" s="23">
        <v>1800</v>
      </c>
      <c r="S20" s="158">
        <f t="shared" si="12"/>
        <v>720</v>
      </c>
      <c r="T20" s="24">
        <v>1353</v>
      </c>
      <c r="U20" s="25">
        <f t="shared" si="13"/>
        <v>541.20000000000005</v>
      </c>
      <c r="V20" s="32">
        <f t="shared" si="10"/>
        <v>21153</v>
      </c>
      <c r="W20" s="32">
        <f t="shared" si="14"/>
        <v>8461.2000000000007</v>
      </c>
      <c r="X20" s="110">
        <v>65</v>
      </c>
      <c r="Y20" s="160"/>
      <c r="Z20" s="33">
        <f t="shared" si="2"/>
        <v>1170000</v>
      </c>
      <c r="AA20" s="33">
        <f t="shared" si="3"/>
        <v>468000</v>
      </c>
      <c r="AB20" s="33">
        <f t="shared" si="4"/>
        <v>117000</v>
      </c>
      <c r="AC20" s="33">
        <f t="shared" si="5"/>
        <v>46800</v>
      </c>
      <c r="AD20" s="33">
        <f t="shared" si="6"/>
        <v>87945</v>
      </c>
      <c r="AE20" s="33">
        <f t="shared" si="7"/>
        <v>35178</v>
      </c>
      <c r="AF20" s="33">
        <f t="shared" si="8"/>
        <v>1374945</v>
      </c>
      <c r="AG20" s="33">
        <f t="shared" si="9"/>
        <v>549978</v>
      </c>
    </row>
    <row r="21" spans="1:33" ht="10" customHeight="1">
      <c r="A21" s="47">
        <v>18</v>
      </c>
      <c r="B21" s="126" t="s">
        <v>178</v>
      </c>
      <c r="C21" s="48" t="s">
        <v>0</v>
      </c>
      <c r="D21" s="48" t="s">
        <v>46</v>
      </c>
      <c r="E21" s="48" t="s">
        <v>91</v>
      </c>
      <c r="F21" s="48" t="s">
        <v>3</v>
      </c>
      <c r="G21" s="199" t="str">
        <f>IF(H21="","",IF(ISNUMBER(SEARCH(" ",H21)),LEFT(H21,1)&amp;MID(H21,SEARCH(" ",H21)+1,1)&amp;IFERROR(MID(H21,SEARCH(" ",H21,SEARCH(" ",H21)+1)+1,1),""),LEFT(H21,3)))&amp;IF(I21="","","-"&amp;IF(ISNUMBER(SEARCH(" ",I21)),LEFT(I21,1)&amp;MID(I21,SEARCH(" ",I21)+1,1)&amp;IFERROR(MID(I21,SEARCH(" ",I21,SEARCH(" ",I21)+1)+1,1),""),LEFT(I21,3)))&amp;IF(D21="","","-"&amp;D21)&amp;"-"&amp;TEXT(COUNTIF($H$4:H21,H21),"000")</f>
        <v>FYV-FEE-301-009</v>
      </c>
      <c r="H21" s="48" t="s">
        <v>607</v>
      </c>
      <c r="I21" s="48" t="s">
        <v>659</v>
      </c>
      <c r="J21" s="49" t="s">
        <v>361</v>
      </c>
      <c r="K21" s="50" t="s">
        <v>199</v>
      </c>
      <c r="L21" s="51" t="s">
        <v>141</v>
      </c>
      <c r="M21" s="51" t="s">
        <v>174</v>
      </c>
      <c r="N21" s="51" t="s">
        <v>141</v>
      </c>
      <c r="O21" s="51" t="s">
        <v>524</v>
      </c>
      <c r="P21" s="39">
        <v>14400</v>
      </c>
      <c r="Q21" s="40">
        <f t="shared" si="11"/>
        <v>5760</v>
      </c>
      <c r="R21" s="23">
        <v>3000</v>
      </c>
      <c r="S21" s="158">
        <f t="shared" si="12"/>
        <v>1200</v>
      </c>
      <c r="T21" s="24">
        <v>5121</v>
      </c>
      <c r="U21" s="25">
        <f t="shared" si="13"/>
        <v>2048.4</v>
      </c>
      <c r="V21" s="53">
        <f t="shared" si="10"/>
        <v>22521</v>
      </c>
      <c r="W21" s="53">
        <f t="shared" si="14"/>
        <v>9008.4</v>
      </c>
      <c r="X21" s="112">
        <v>30</v>
      </c>
      <c r="Y21" s="160"/>
      <c r="Z21" s="54">
        <f t="shared" si="2"/>
        <v>432000</v>
      </c>
      <c r="AA21" s="54">
        <f t="shared" si="3"/>
        <v>172800</v>
      </c>
      <c r="AB21" s="54">
        <f t="shared" si="4"/>
        <v>90000</v>
      </c>
      <c r="AC21" s="54">
        <f t="shared" si="5"/>
        <v>36000</v>
      </c>
      <c r="AD21" s="54">
        <f t="shared" si="6"/>
        <v>153630</v>
      </c>
      <c r="AE21" s="54">
        <f t="shared" si="7"/>
        <v>61452</v>
      </c>
      <c r="AF21" s="54">
        <f t="shared" si="8"/>
        <v>675630</v>
      </c>
      <c r="AG21" s="54">
        <f t="shared" si="9"/>
        <v>270252</v>
      </c>
    </row>
    <row r="22" spans="1:33" ht="10" customHeight="1">
      <c r="A22" s="47">
        <v>19</v>
      </c>
      <c r="B22" s="124" t="s">
        <v>178</v>
      </c>
      <c r="C22" s="28" t="s">
        <v>0</v>
      </c>
      <c r="D22" s="28" t="s">
        <v>46</v>
      </c>
      <c r="E22" s="28" t="s">
        <v>92</v>
      </c>
      <c r="F22" s="28" t="s">
        <v>3</v>
      </c>
      <c r="G22" s="199" t="str">
        <f>IF(H22="","",IF(ISNUMBER(SEARCH(" ",H22)),LEFT(H22,1)&amp;MID(H22,SEARCH(" ",H22)+1,1)&amp;IFERROR(MID(H22,SEARCH(" ",H22,SEARCH(" ",H22)+1)+1,1),""),LEFT(H22,3)))&amp;IF(I22="","","-"&amp;IF(ISNUMBER(SEARCH(" ",I22)),LEFT(I22,1)&amp;MID(I22,SEARCH(" ",I22)+1,1)&amp;IFERROR(MID(I22,SEARCH(" ",I22,SEARCH(" ",I22)+1)+1,1),""),LEFT(I22,3)))&amp;IF(D22="","","-"&amp;D22)&amp;"-"&amp;TEXT(COUNTIF($H$4:H22,H22),"000")</f>
        <v>FYV-FEE-301-010</v>
      </c>
      <c r="H22" s="48" t="s">
        <v>607</v>
      </c>
      <c r="I22" s="28" t="s">
        <v>659</v>
      </c>
      <c r="J22" s="29" t="s">
        <v>362</v>
      </c>
      <c r="K22" s="30" t="s">
        <v>320</v>
      </c>
      <c r="L22" s="31" t="s">
        <v>141</v>
      </c>
      <c r="M22" s="31" t="s">
        <v>174</v>
      </c>
      <c r="N22" s="31" t="s">
        <v>141</v>
      </c>
      <c r="O22" s="31" t="s">
        <v>524</v>
      </c>
      <c r="P22" s="39">
        <v>9000</v>
      </c>
      <c r="Q22" s="40">
        <f t="shared" si="11"/>
        <v>3600</v>
      </c>
      <c r="R22" s="23">
        <v>3000</v>
      </c>
      <c r="S22" s="158">
        <f t="shared" si="12"/>
        <v>1200</v>
      </c>
      <c r="T22" s="24">
        <v>733</v>
      </c>
      <c r="U22" s="25">
        <f t="shared" si="13"/>
        <v>293.2</v>
      </c>
      <c r="V22" s="32">
        <f t="shared" si="10"/>
        <v>12733</v>
      </c>
      <c r="W22" s="32">
        <f t="shared" si="14"/>
        <v>5093.2000000000007</v>
      </c>
      <c r="X22" s="110">
        <v>18.5</v>
      </c>
      <c r="Y22" s="160"/>
      <c r="Z22" s="33">
        <f t="shared" si="2"/>
        <v>166500</v>
      </c>
      <c r="AA22" s="33">
        <f t="shared" si="3"/>
        <v>66600</v>
      </c>
      <c r="AB22" s="33">
        <f t="shared" si="4"/>
        <v>55500</v>
      </c>
      <c r="AC22" s="33">
        <f t="shared" si="5"/>
        <v>22200</v>
      </c>
      <c r="AD22" s="33">
        <f t="shared" si="6"/>
        <v>13560.5</v>
      </c>
      <c r="AE22" s="33">
        <f t="shared" si="7"/>
        <v>5424.2</v>
      </c>
      <c r="AF22" s="33">
        <f t="shared" si="8"/>
        <v>235560.5</v>
      </c>
      <c r="AG22" s="33">
        <f t="shared" si="9"/>
        <v>94224.200000000012</v>
      </c>
    </row>
    <row r="23" spans="1:33" ht="10" customHeight="1">
      <c r="A23" s="47">
        <v>20</v>
      </c>
      <c r="B23" s="126" t="s">
        <v>178</v>
      </c>
      <c r="C23" s="48" t="s">
        <v>0</v>
      </c>
      <c r="D23" s="48" t="s">
        <v>46</v>
      </c>
      <c r="E23" s="48" t="s">
        <v>93</v>
      </c>
      <c r="F23" s="48" t="s">
        <v>3</v>
      </c>
      <c r="G23" s="199" t="str">
        <f>IF(H23="","",IF(ISNUMBER(SEARCH(" ",H23)),LEFT(H23,1)&amp;MID(H23,SEARCH(" ",H23)+1,1)&amp;IFERROR(MID(H23,SEARCH(" ",H23,SEARCH(" ",H23)+1)+1,1),""),LEFT(H23,3)))&amp;IF(I23="","","-"&amp;IF(ISNUMBER(SEARCH(" ",I23)),LEFT(I23,1)&amp;MID(I23,SEARCH(" ",I23)+1,1)&amp;IFERROR(MID(I23,SEARCH(" ",I23,SEARCH(" ",I23)+1)+1,1),""),LEFT(I23,3)))&amp;IF(D23="","","-"&amp;D23)&amp;"-"&amp;TEXT(COUNTIF($H$4:H23,H23),"000")</f>
        <v>FYV-FEE-301-011</v>
      </c>
      <c r="H23" s="48" t="s">
        <v>607</v>
      </c>
      <c r="I23" s="48" t="s">
        <v>659</v>
      </c>
      <c r="J23" s="49" t="s">
        <v>363</v>
      </c>
      <c r="K23" s="50" t="s">
        <v>200</v>
      </c>
      <c r="L23" s="51" t="s">
        <v>141</v>
      </c>
      <c r="M23" s="51" t="s">
        <v>174</v>
      </c>
      <c r="N23" s="51" t="s">
        <v>141</v>
      </c>
      <c r="O23" s="51" t="s">
        <v>524</v>
      </c>
      <c r="P23" s="39">
        <v>3000</v>
      </c>
      <c r="Q23" s="40">
        <f t="shared" si="11"/>
        <v>1200</v>
      </c>
      <c r="R23" s="23">
        <v>4800</v>
      </c>
      <c r="S23" s="158">
        <f t="shared" si="12"/>
        <v>1920</v>
      </c>
      <c r="T23" s="24">
        <v>4756</v>
      </c>
      <c r="U23" s="25">
        <f t="shared" si="13"/>
        <v>1902.4</v>
      </c>
      <c r="V23" s="53">
        <f t="shared" si="10"/>
        <v>12556</v>
      </c>
      <c r="W23" s="53">
        <f t="shared" si="14"/>
        <v>5022.4000000000005</v>
      </c>
      <c r="X23" s="112">
        <v>34</v>
      </c>
      <c r="Y23" s="160"/>
      <c r="Z23" s="54">
        <f t="shared" si="2"/>
        <v>102000</v>
      </c>
      <c r="AA23" s="54">
        <f t="shared" si="3"/>
        <v>40800</v>
      </c>
      <c r="AB23" s="54">
        <f t="shared" si="4"/>
        <v>163200</v>
      </c>
      <c r="AC23" s="54">
        <f t="shared" si="5"/>
        <v>65280</v>
      </c>
      <c r="AD23" s="54">
        <f t="shared" si="6"/>
        <v>161704</v>
      </c>
      <c r="AE23" s="54">
        <f t="shared" si="7"/>
        <v>64681.600000000006</v>
      </c>
      <c r="AF23" s="54">
        <f t="shared" si="8"/>
        <v>426904</v>
      </c>
      <c r="AG23" s="54">
        <f t="shared" si="9"/>
        <v>170761.60000000001</v>
      </c>
    </row>
    <row r="24" spans="1:33" ht="10" customHeight="1">
      <c r="A24" s="47">
        <v>21</v>
      </c>
      <c r="B24" s="124" t="s">
        <v>178</v>
      </c>
      <c r="C24" s="28" t="s">
        <v>0</v>
      </c>
      <c r="D24" s="28" t="s">
        <v>46</v>
      </c>
      <c r="E24" s="28" t="s">
        <v>94</v>
      </c>
      <c r="F24" s="28" t="s">
        <v>3</v>
      </c>
      <c r="G24" s="199" t="str">
        <f>IF(H24="","",IF(ISNUMBER(SEARCH(" ",H24)),LEFT(H24,1)&amp;MID(H24,SEARCH(" ",H24)+1,1)&amp;IFERROR(MID(H24,SEARCH(" ",H24,SEARCH(" ",H24)+1)+1,1),""),LEFT(H24,3)))&amp;IF(I24="","","-"&amp;IF(ISNUMBER(SEARCH(" ",I24)),LEFT(I24,1)&amp;MID(I24,SEARCH(" ",I24)+1,1)&amp;IFERROR(MID(I24,SEARCH(" ",I24,SEARCH(" ",I24)+1)+1,1),""),LEFT(I24,3)))&amp;IF(D24="","","-"&amp;D24)&amp;"-"&amp;TEXT(COUNTIF($H$4:H24,H24),"000")</f>
        <v>FYV-FEE-301-012</v>
      </c>
      <c r="H24" s="48" t="s">
        <v>607</v>
      </c>
      <c r="I24" s="28" t="s">
        <v>659</v>
      </c>
      <c r="J24" s="29" t="s">
        <v>364</v>
      </c>
      <c r="K24" s="30" t="s">
        <v>321</v>
      </c>
      <c r="L24" s="31" t="s">
        <v>141</v>
      </c>
      <c r="M24" s="31" t="s">
        <v>174</v>
      </c>
      <c r="N24" s="31" t="s">
        <v>141</v>
      </c>
      <c r="O24" s="31" t="s">
        <v>524</v>
      </c>
      <c r="P24" s="39">
        <v>4200</v>
      </c>
      <c r="Q24" s="40">
        <f t="shared" si="11"/>
        <v>1680</v>
      </c>
      <c r="R24" s="23">
        <v>600</v>
      </c>
      <c r="S24" s="158">
        <f t="shared" si="12"/>
        <v>240</v>
      </c>
      <c r="T24" s="24">
        <v>1627</v>
      </c>
      <c r="U24" s="25">
        <f t="shared" si="13"/>
        <v>650.80000000000007</v>
      </c>
      <c r="V24" s="32">
        <f t="shared" si="10"/>
        <v>6427</v>
      </c>
      <c r="W24" s="32">
        <f t="shared" si="14"/>
        <v>2570.8000000000002</v>
      </c>
      <c r="X24" s="110">
        <v>58</v>
      </c>
      <c r="Y24" s="160"/>
      <c r="Z24" s="33">
        <f t="shared" si="2"/>
        <v>243600</v>
      </c>
      <c r="AA24" s="33">
        <f t="shared" si="3"/>
        <v>97440</v>
      </c>
      <c r="AB24" s="33">
        <f t="shared" si="4"/>
        <v>34800</v>
      </c>
      <c r="AC24" s="33">
        <f t="shared" si="5"/>
        <v>13920</v>
      </c>
      <c r="AD24" s="33">
        <f t="shared" si="6"/>
        <v>94366</v>
      </c>
      <c r="AE24" s="33">
        <f t="shared" si="7"/>
        <v>37746.400000000001</v>
      </c>
      <c r="AF24" s="33">
        <f t="shared" si="8"/>
        <v>372766</v>
      </c>
      <c r="AG24" s="33">
        <f t="shared" si="9"/>
        <v>149106.40000000002</v>
      </c>
    </row>
    <row r="25" spans="1:33" ht="10" customHeight="1">
      <c r="A25" s="47">
        <v>22</v>
      </c>
      <c r="B25" s="126" t="s">
        <v>178</v>
      </c>
      <c r="C25" s="48" t="s">
        <v>0</v>
      </c>
      <c r="D25" s="48" t="s">
        <v>46</v>
      </c>
      <c r="E25" s="48" t="s">
        <v>95</v>
      </c>
      <c r="F25" s="48" t="s">
        <v>3</v>
      </c>
      <c r="G25" s="199" t="str">
        <f>IF(H25="","",IF(ISNUMBER(SEARCH(" ",H25)),LEFT(H25,1)&amp;MID(H25,SEARCH(" ",H25)+1,1)&amp;IFERROR(MID(H25,SEARCH(" ",H25,SEARCH(" ",H25)+1)+1,1),""),LEFT(H25,3)))&amp;IF(I25="","","-"&amp;IF(ISNUMBER(SEARCH(" ",I25)),LEFT(I25,1)&amp;MID(I25,SEARCH(" ",I25)+1,1)&amp;IFERROR(MID(I25,SEARCH(" ",I25,SEARCH(" ",I25)+1)+1,1),""),LEFT(I25,3)))&amp;IF(D25="","","-"&amp;D25)&amp;"-"&amp;TEXT(COUNTIF($H$4:H25,H25),"000")</f>
        <v>FYV-FEE-301-013</v>
      </c>
      <c r="H25" s="48" t="s">
        <v>607</v>
      </c>
      <c r="I25" s="48" t="s">
        <v>659</v>
      </c>
      <c r="J25" s="49" t="s">
        <v>365</v>
      </c>
      <c r="K25" s="50" t="s">
        <v>322</v>
      </c>
      <c r="L25" s="51" t="s">
        <v>141</v>
      </c>
      <c r="M25" s="51" t="s">
        <v>174</v>
      </c>
      <c r="N25" s="51" t="s">
        <v>141</v>
      </c>
      <c r="O25" s="51" t="s">
        <v>524</v>
      </c>
      <c r="P25" s="39">
        <v>6000</v>
      </c>
      <c r="Q25" s="40">
        <f t="shared" si="11"/>
        <v>2400</v>
      </c>
      <c r="R25" s="23">
        <v>1080</v>
      </c>
      <c r="S25" s="158">
        <f t="shared" si="12"/>
        <v>432</v>
      </c>
      <c r="T25" s="24">
        <v>1405</v>
      </c>
      <c r="U25" s="25">
        <f t="shared" si="13"/>
        <v>562</v>
      </c>
      <c r="V25" s="53">
        <f t="shared" si="10"/>
        <v>8485</v>
      </c>
      <c r="W25" s="53">
        <f t="shared" si="14"/>
        <v>3394</v>
      </c>
      <c r="X25" s="112">
        <v>74</v>
      </c>
      <c r="Y25" s="160"/>
      <c r="Z25" s="54">
        <f t="shared" si="2"/>
        <v>444000</v>
      </c>
      <c r="AA25" s="54">
        <f t="shared" si="3"/>
        <v>177600</v>
      </c>
      <c r="AB25" s="54">
        <f t="shared" si="4"/>
        <v>79920</v>
      </c>
      <c r="AC25" s="54">
        <f t="shared" si="5"/>
        <v>31968</v>
      </c>
      <c r="AD25" s="54">
        <f t="shared" si="6"/>
        <v>103970</v>
      </c>
      <c r="AE25" s="54">
        <f t="shared" si="7"/>
        <v>41588</v>
      </c>
      <c r="AF25" s="54">
        <f t="shared" si="8"/>
        <v>627890</v>
      </c>
      <c r="AG25" s="54">
        <f t="shared" si="9"/>
        <v>251156</v>
      </c>
    </row>
    <row r="26" spans="1:33" ht="10" customHeight="1">
      <c r="A26" s="47">
        <v>23</v>
      </c>
      <c r="B26" s="124" t="s">
        <v>178</v>
      </c>
      <c r="C26" s="28" t="s">
        <v>0</v>
      </c>
      <c r="D26" s="28" t="s">
        <v>46</v>
      </c>
      <c r="E26" s="28" t="s">
        <v>96</v>
      </c>
      <c r="F26" s="28" t="s">
        <v>3</v>
      </c>
      <c r="G26" s="199" t="str">
        <f>IF(H26="","",IF(ISNUMBER(SEARCH(" ",H26)),LEFT(H26,1)&amp;MID(H26,SEARCH(" ",H26)+1,1)&amp;IFERROR(MID(H26,SEARCH(" ",H26,SEARCH(" ",H26)+1)+1,1),""),LEFT(H26,3)))&amp;IF(I26="","","-"&amp;IF(ISNUMBER(SEARCH(" ",I26)),LEFT(I26,1)&amp;MID(I26,SEARCH(" ",I26)+1,1)&amp;IFERROR(MID(I26,SEARCH(" ",I26,SEARCH(" ",I26)+1)+1,1),""),LEFT(I26,3)))&amp;IF(D26="","","-"&amp;D26)&amp;"-"&amp;TEXT(COUNTIF($H$4:H26,H26),"000")</f>
        <v>FYV-FEE-301-014</v>
      </c>
      <c r="H26" s="48" t="s">
        <v>607</v>
      </c>
      <c r="I26" s="28" t="s">
        <v>659</v>
      </c>
      <c r="J26" s="29" t="s">
        <v>366</v>
      </c>
      <c r="K26" s="30" t="s">
        <v>201</v>
      </c>
      <c r="L26" s="31" t="s">
        <v>141</v>
      </c>
      <c r="M26" s="31" t="s">
        <v>174</v>
      </c>
      <c r="N26" s="31" t="s">
        <v>141</v>
      </c>
      <c r="O26" s="31" t="s">
        <v>524</v>
      </c>
      <c r="P26" s="39">
        <v>20400</v>
      </c>
      <c r="Q26" s="40">
        <f t="shared" si="11"/>
        <v>8160</v>
      </c>
      <c r="R26" s="23">
        <v>4200</v>
      </c>
      <c r="S26" s="158">
        <f t="shared" si="12"/>
        <v>1680</v>
      </c>
      <c r="T26" s="24">
        <v>886</v>
      </c>
      <c r="U26" s="25">
        <f t="shared" si="13"/>
        <v>354.40000000000003</v>
      </c>
      <c r="V26" s="32">
        <f t="shared" si="10"/>
        <v>25486</v>
      </c>
      <c r="W26" s="32">
        <f t="shared" si="14"/>
        <v>10194.400000000001</v>
      </c>
      <c r="X26" s="110">
        <v>24.5</v>
      </c>
      <c r="Y26" s="160"/>
      <c r="Z26" s="33">
        <f t="shared" si="2"/>
        <v>499800</v>
      </c>
      <c r="AA26" s="33">
        <f t="shared" si="3"/>
        <v>199920</v>
      </c>
      <c r="AB26" s="33">
        <f t="shared" si="4"/>
        <v>102900</v>
      </c>
      <c r="AC26" s="33">
        <f t="shared" si="5"/>
        <v>41160</v>
      </c>
      <c r="AD26" s="33">
        <f t="shared" si="6"/>
        <v>21707</v>
      </c>
      <c r="AE26" s="33">
        <f t="shared" si="7"/>
        <v>8682.8000000000011</v>
      </c>
      <c r="AF26" s="33">
        <f t="shared" si="8"/>
        <v>624407</v>
      </c>
      <c r="AG26" s="33">
        <f t="shared" si="9"/>
        <v>249762.80000000005</v>
      </c>
    </row>
    <row r="27" spans="1:33" ht="10" customHeight="1">
      <c r="A27" s="47">
        <v>24</v>
      </c>
      <c r="B27" s="126" t="s">
        <v>178</v>
      </c>
      <c r="C27" s="48" t="s">
        <v>0</v>
      </c>
      <c r="D27" s="48" t="s">
        <v>46</v>
      </c>
      <c r="E27" s="48" t="s">
        <v>97</v>
      </c>
      <c r="F27" s="48" t="s">
        <v>3</v>
      </c>
      <c r="G27" s="199" t="str">
        <f>IF(H27="","",IF(ISNUMBER(SEARCH(" ",H27)),LEFT(H27,1)&amp;MID(H27,SEARCH(" ",H27)+1,1)&amp;IFERROR(MID(H27,SEARCH(" ",H27,SEARCH(" ",H27)+1)+1,1),""),LEFT(H27,3)))&amp;IF(I27="","","-"&amp;IF(ISNUMBER(SEARCH(" ",I27)),LEFT(I27,1)&amp;MID(I27,SEARCH(" ",I27)+1,1)&amp;IFERROR(MID(I27,SEARCH(" ",I27,SEARCH(" ",I27)+1)+1,1),""),LEFT(I27,3)))&amp;IF(D27="","","-"&amp;D27)&amp;"-"&amp;TEXT(COUNTIF($H$4:H27,H27),"000")</f>
        <v>FYV-FEE-301-015</v>
      </c>
      <c r="H27" s="48" t="s">
        <v>607</v>
      </c>
      <c r="I27" s="48" t="s">
        <v>659</v>
      </c>
      <c r="J27" s="49" t="s">
        <v>367</v>
      </c>
      <c r="K27" s="50" t="s">
        <v>522</v>
      </c>
      <c r="L27" s="51" t="s">
        <v>141</v>
      </c>
      <c r="M27" s="51" t="s">
        <v>174</v>
      </c>
      <c r="N27" s="51" t="s">
        <v>141</v>
      </c>
      <c r="O27" s="51" t="s">
        <v>524</v>
      </c>
      <c r="P27" s="39">
        <v>0</v>
      </c>
      <c r="Q27" s="40">
        <f t="shared" si="11"/>
        <v>0</v>
      </c>
      <c r="R27" s="23">
        <v>0</v>
      </c>
      <c r="S27" s="158">
        <f t="shared" si="12"/>
        <v>0</v>
      </c>
      <c r="T27" s="24">
        <v>0</v>
      </c>
      <c r="U27" s="25">
        <f t="shared" si="13"/>
        <v>0</v>
      </c>
      <c r="V27" s="53">
        <f t="shared" si="10"/>
        <v>0</v>
      </c>
      <c r="W27" s="53">
        <f t="shared" si="14"/>
        <v>0</v>
      </c>
      <c r="X27" s="106">
        <v>24.5</v>
      </c>
      <c r="Y27" s="160"/>
      <c r="Z27" s="54">
        <f t="shared" si="2"/>
        <v>0</v>
      </c>
      <c r="AA27" s="54">
        <f t="shared" si="3"/>
        <v>0</v>
      </c>
      <c r="AB27" s="54">
        <f t="shared" si="4"/>
        <v>0</v>
      </c>
      <c r="AC27" s="54">
        <f t="shared" si="5"/>
        <v>0</v>
      </c>
      <c r="AD27" s="54">
        <f t="shared" si="6"/>
        <v>0</v>
      </c>
      <c r="AE27" s="54">
        <f t="shared" si="7"/>
        <v>0</v>
      </c>
      <c r="AF27" s="54">
        <f t="shared" si="8"/>
        <v>0</v>
      </c>
      <c r="AG27" s="54">
        <f t="shared" si="9"/>
        <v>0</v>
      </c>
    </row>
    <row r="28" spans="1:33" ht="10" customHeight="1">
      <c r="A28" s="47">
        <v>25</v>
      </c>
      <c r="B28" s="124" t="s">
        <v>178</v>
      </c>
      <c r="C28" s="28" t="s">
        <v>0</v>
      </c>
      <c r="D28" s="28" t="s">
        <v>46</v>
      </c>
      <c r="E28" s="28" t="s">
        <v>98</v>
      </c>
      <c r="F28" s="28" t="s">
        <v>3</v>
      </c>
      <c r="G28" s="199" t="str">
        <f>IF(H28="","",IF(ISNUMBER(SEARCH(" ",H28)),LEFT(H28,1)&amp;MID(H28,SEARCH(" ",H28)+1,1)&amp;IFERROR(MID(H28,SEARCH(" ",H28,SEARCH(" ",H28)+1)+1,1),""),LEFT(H28,3)))&amp;IF(I28="","","-"&amp;IF(ISNUMBER(SEARCH(" ",I28)),LEFT(I28,1)&amp;MID(I28,SEARCH(" ",I28)+1,1)&amp;IFERROR(MID(I28,SEARCH(" ",I28,SEARCH(" ",I28)+1)+1,1),""),LEFT(I28,3)))&amp;IF(D28="","","-"&amp;D28)&amp;"-"&amp;TEXT(COUNTIF($H$4:H28,H28),"000")</f>
        <v>FYV-FEE-301-016</v>
      </c>
      <c r="H28" s="48" t="s">
        <v>607</v>
      </c>
      <c r="I28" s="28" t="s">
        <v>659</v>
      </c>
      <c r="J28" s="29" t="s">
        <v>368</v>
      </c>
      <c r="K28" s="30" t="s">
        <v>202</v>
      </c>
      <c r="L28" s="31" t="s">
        <v>141</v>
      </c>
      <c r="M28" s="31" t="s">
        <v>174</v>
      </c>
      <c r="N28" s="31" t="s">
        <v>141</v>
      </c>
      <c r="O28" s="31" t="s">
        <v>524</v>
      </c>
      <c r="P28" s="39">
        <v>24</v>
      </c>
      <c r="Q28" s="40">
        <f t="shared" si="11"/>
        <v>9.6000000000000014</v>
      </c>
      <c r="R28" s="23">
        <v>120</v>
      </c>
      <c r="S28" s="158">
        <f t="shared" si="12"/>
        <v>48</v>
      </c>
      <c r="T28" s="24">
        <v>453</v>
      </c>
      <c r="U28" s="25">
        <f t="shared" si="13"/>
        <v>181.20000000000002</v>
      </c>
      <c r="V28" s="32">
        <f t="shared" si="10"/>
        <v>597</v>
      </c>
      <c r="W28" s="32">
        <f t="shared" si="14"/>
        <v>238.8</v>
      </c>
      <c r="X28" s="110">
        <v>20</v>
      </c>
      <c r="Y28" s="160"/>
      <c r="Z28" s="33">
        <f t="shared" si="2"/>
        <v>480</v>
      </c>
      <c r="AA28" s="33">
        <f t="shared" si="3"/>
        <v>192.00000000000003</v>
      </c>
      <c r="AB28" s="33">
        <f t="shared" si="4"/>
        <v>2400</v>
      </c>
      <c r="AC28" s="33">
        <f t="shared" si="5"/>
        <v>960</v>
      </c>
      <c r="AD28" s="33">
        <f t="shared" si="6"/>
        <v>9060</v>
      </c>
      <c r="AE28" s="33">
        <f t="shared" si="7"/>
        <v>3624.0000000000005</v>
      </c>
      <c r="AF28" s="33">
        <f t="shared" si="8"/>
        <v>11940</v>
      </c>
      <c r="AG28" s="33">
        <f t="shared" si="9"/>
        <v>4776</v>
      </c>
    </row>
    <row r="29" spans="1:33" ht="10" customHeight="1">
      <c r="A29" s="47">
        <v>26</v>
      </c>
      <c r="B29" s="126" t="s">
        <v>178</v>
      </c>
      <c r="C29" s="48" t="s">
        <v>0</v>
      </c>
      <c r="D29" s="48" t="s">
        <v>46</v>
      </c>
      <c r="E29" s="48" t="s">
        <v>99</v>
      </c>
      <c r="F29" s="48" t="s">
        <v>3</v>
      </c>
      <c r="G29" s="199" t="str">
        <f>IF(H29="","",IF(ISNUMBER(SEARCH(" ",H29)),LEFT(H29,1)&amp;MID(H29,SEARCH(" ",H29)+1,1)&amp;IFERROR(MID(H29,SEARCH(" ",H29,SEARCH(" ",H29)+1)+1,1),""),LEFT(H29,3)))&amp;IF(I29="","","-"&amp;IF(ISNUMBER(SEARCH(" ",I29)),LEFT(I29,1)&amp;MID(I29,SEARCH(" ",I29)+1,1)&amp;IFERROR(MID(I29,SEARCH(" ",I29,SEARCH(" ",I29)+1)+1,1),""),LEFT(I29,3)))&amp;IF(D29="","","-"&amp;D29)&amp;"-"&amp;TEXT(COUNTIF($H$4:H29,H29),"000")</f>
        <v>FYV-FEE-301-017</v>
      </c>
      <c r="H29" s="48" t="s">
        <v>607</v>
      </c>
      <c r="I29" s="48" t="s">
        <v>659</v>
      </c>
      <c r="J29" s="49" t="s">
        <v>369</v>
      </c>
      <c r="K29" s="50" t="s">
        <v>323</v>
      </c>
      <c r="L29" s="51" t="s">
        <v>141</v>
      </c>
      <c r="M29" s="51" t="s">
        <v>174</v>
      </c>
      <c r="N29" s="51" t="s">
        <v>141</v>
      </c>
      <c r="O29" s="51" t="s">
        <v>524</v>
      </c>
      <c r="P29" s="39">
        <v>6000</v>
      </c>
      <c r="Q29" s="40">
        <f t="shared" si="11"/>
        <v>2400</v>
      </c>
      <c r="R29" s="23">
        <v>2520</v>
      </c>
      <c r="S29" s="158">
        <f t="shared" si="12"/>
        <v>1008</v>
      </c>
      <c r="T29" s="24">
        <v>2547</v>
      </c>
      <c r="U29" s="25">
        <f t="shared" si="13"/>
        <v>1018.8000000000001</v>
      </c>
      <c r="V29" s="53">
        <f t="shared" si="10"/>
        <v>11067</v>
      </c>
      <c r="W29" s="53">
        <f t="shared" si="14"/>
        <v>4426.8</v>
      </c>
      <c r="X29" s="112">
        <v>24.5</v>
      </c>
      <c r="Y29" s="160"/>
      <c r="Z29" s="54">
        <f t="shared" si="2"/>
        <v>147000</v>
      </c>
      <c r="AA29" s="54">
        <f t="shared" si="3"/>
        <v>58800</v>
      </c>
      <c r="AB29" s="54">
        <f t="shared" si="4"/>
        <v>61740</v>
      </c>
      <c r="AC29" s="54">
        <f t="shared" si="5"/>
        <v>24696</v>
      </c>
      <c r="AD29" s="54">
        <f t="shared" si="6"/>
        <v>62401.5</v>
      </c>
      <c r="AE29" s="54">
        <f t="shared" si="7"/>
        <v>24960.600000000002</v>
      </c>
      <c r="AF29" s="54">
        <f t="shared" si="8"/>
        <v>271141.5</v>
      </c>
      <c r="AG29" s="54">
        <f t="shared" si="9"/>
        <v>108456.6</v>
      </c>
    </row>
    <row r="30" spans="1:33" ht="10" customHeight="1">
      <c r="A30" s="47">
        <v>27</v>
      </c>
      <c r="B30" s="124" t="s">
        <v>178</v>
      </c>
      <c r="C30" s="28" t="s">
        <v>0</v>
      </c>
      <c r="D30" s="28" t="s">
        <v>46</v>
      </c>
      <c r="E30" s="28" t="s">
        <v>70</v>
      </c>
      <c r="F30" s="28" t="s">
        <v>3</v>
      </c>
      <c r="G30" s="199" t="str">
        <f>IF(H30="","",IF(ISNUMBER(SEARCH(" ",H30)),LEFT(H30,1)&amp;MID(H30,SEARCH(" ",H30)+1,1)&amp;IFERROR(MID(H30,SEARCH(" ",H30,SEARCH(" ",H30)+1)+1,1),""),LEFT(H30,3)))&amp;IF(I30="","","-"&amp;IF(ISNUMBER(SEARCH(" ",I30)),LEFT(I30,1)&amp;MID(I30,SEARCH(" ",I30)+1,1)&amp;IFERROR(MID(I30,SEARCH(" ",I30,SEARCH(" ",I30)+1)+1,1),""),LEFT(I30,3)))&amp;IF(D30="","","-"&amp;D30)&amp;"-"&amp;TEXT(COUNTIF($H$4:H30,H30),"000")</f>
        <v>FYV-FEE-301-018</v>
      </c>
      <c r="H30" s="48" t="s">
        <v>607</v>
      </c>
      <c r="I30" s="28" t="s">
        <v>659</v>
      </c>
      <c r="J30" s="29" t="s">
        <v>370</v>
      </c>
      <c r="K30" s="30" t="s">
        <v>203</v>
      </c>
      <c r="L30" s="31" t="s">
        <v>141</v>
      </c>
      <c r="M30" s="31" t="s">
        <v>174</v>
      </c>
      <c r="N30" s="31" t="s">
        <v>141</v>
      </c>
      <c r="O30" s="31" t="s">
        <v>524</v>
      </c>
      <c r="P30" s="39">
        <v>2400</v>
      </c>
      <c r="Q30" s="40">
        <f t="shared" si="11"/>
        <v>960</v>
      </c>
      <c r="R30" s="23">
        <v>3000</v>
      </c>
      <c r="S30" s="158">
        <f t="shared" si="12"/>
        <v>1200</v>
      </c>
      <c r="T30" s="24">
        <v>3831</v>
      </c>
      <c r="U30" s="25">
        <f t="shared" si="13"/>
        <v>1532.4</v>
      </c>
      <c r="V30" s="32">
        <f t="shared" si="10"/>
        <v>9231</v>
      </c>
      <c r="W30" s="32">
        <f t="shared" si="14"/>
        <v>3692.4</v>
      </c>
      <c r="X30" s="110">
        <v>15.5</v>
      </c>
      <c r="Y30" s="160"/>
      <c r="Z30" s="33">
        <f t="shared" si="2"/>
        <v>37200</v>
      </c>
      <c r="AA30" s="33">
        <f t="shared" si="3"/>
        <v>14880</v>
      </c>
      <c r="AB30" s="33">
        <f t="shared" si="4"/>
        <v>46500</v>
      </c>
      <c r="AC30" s="33">
        <f t="shared" si="5"/>
        <v>18600</v>
      </c>
      <c r="AD30" s="33">
        <f t="shared" si="6"/>
        <v>59380.5</v>
      </c>
      <c r="AE30" s="33">
        <f t="shared" si="7"/>
        <v>23752.2</v>
      </c>
      <c r="AF30" s="33">
        <f t="shared" si="8"/>
        <v>143080.5</v>
      </c>
      <c r="AG30" s="33">
        <f t="shared" si="9"/>
        <v>57232.200000000004</v>
      </c>
    </row>
    <row r="31" spans="1:33" ht="10" customHeight="1">
      <c r="A31" s="47">
        <v>28</v>
      </c>
      <c r="B31" s="126" t="s">
        <v>178</v>
      </c>
      <c r="C31" s="48" t="s">
        <v>0</v>
      </c>
      <c r="D31" s="48" t="s">
        <v>46</v>
      </c>
      <c r="E31" s="48" t="s">
        <v>100</v>
      </c>
      <c r="F31" s="48" t="s">
        <v>3</v>
      </c>
      <c r="G31" s="199" t="str">
        <f>IF(H31="","",IF(ISNUMBER(SEARCH(" ",H31)),LEFT(H31,1)&amp;MID(H31,SEARCH(" ",H31)+1,1)&amp;IFERROR(MID(H31,SEARCH(" ",H31,SEARCH(" ",H31)+1)+1,1),""),LEFT(H31,3)))&amp;IF(I31="","","-"&amp;IF(ISNUMBER(SEARCH(" ",I31)),LEFT(I31,1)&amp;MID(I31,SEARCH(" ",I31)+1,1)&amp;IFERROR(MID(I31,SEARCH(" ",I31,SEARCH(" ",I31)+1)+1,1),""),LEFT(I31,3)))&amp;IF(D31="","","-"&amp;D31)&amp;"-"&amp;TEXT(COUNTIF($H$4:H31,H31),"000")</f>
        <v>FYV-FEE-301-019</v>
      </c>
      <c r="H31" s="48" t="s">
        <v>607</v>
      </c>
      <c r="I31" s="48" t="s">
        <v>659</v>
      </c>
      <c r="J31" s="49" t="s">
        <v>371</v>
      </c>
      <c r="K31" s="50" t="s">
        <v>204</v>
      </c>
      <c r="L31" s="51" t="s">
        <v>141</v>
      </c>
      <c r="M31" s="51" t="s">
        <v>174</v>
      </c>
      <c r="N31" s="51" t="s">
        <v>141</v>
      </c>
      <c r="O31" s="51" t="s">
        <v>524</v>
      </c>
      <c r="P31" s="39">
        <v>0</v>
      </c>
      <c r="Q31" s="40">
        <f t="shared" si="11"/>
        <v>0</v>
      </c>
      <c r="R31" s="23">
        <v>0</v>
      </c>
      <c r="S31" s="158">
        <f t="shared" si="12"/>
        <v>0</v>
      </c>
      <c r="T31" s="24">
        <v>0</v>
      </c>
      <c r="U31" s="25">
        <f t="shared" si="13"/>
        <v>0</v>
      </c>
      <c r="V31" s="53">
        <f t="shared" si="10"/>
        <v>0</v>
      </c>
      <c r="W31" s="53">
        <f t="shared" si="14"/>
        <v>0</v>
      </c>
      <c r="X31" s="106">
        <v>14</v>
      </c>
      <c r="Y31" s="160"/>
      <c r="Z31" s="54">
        <f t="shared" si="2"/>
        <v>0</v>
      </c>
      <c r="AA31" s="54">
        <f t="shared" si="3"/>
        <v>0</v>
      </c>
      <c r="AB31" s="54">
        <f t="shared" si="4"/>
        <v>0</v>
      </c>
      <c r="AC31" s="54">
        <f t="shared" si="5"/>
        <v>0</v>
      </c>
      <c r="AD31" s="54">
        <f t="shared" si="6"/>
        <v>0</v>
      </c>
      <c r="AE31" s="54">
        <f t="shared" si="7"/>
        <v>0</v>
      </c>
      <c r="AF31" s="54">
        <f t="shared" si="8"/>
        <v>0</v>
      </c>
      <c r="AG31" s="54">
        <f t="shared" si="9"/>
        <v>0</v>
      </c>
    </row>
    <row r="32" spans="1:33" ht="10" customHeight="1">
      <c r="A32" s="47">
        <v>29</v>
      </c>
      <c r="B32" s="124" t="s">
        <v>178</v>
      </c>
      <c r="C32" s="28" t="s">
        <v>0</v>
      </c>
      <c r="D32" s="28" t="s">
        <v>46</v>
      </c>
      <c r="E32" s="28" t="s">
        <v>101</v>
      </c>
      <c r="F32" s="28" t="s">
        <v>3</v>
      </c>
      <c r="G32" s="199" t="str">
        <f>IF(H32="","",IF(ISNUMBER(SEARCH(" ",H32)),LEFT(H32,1)&amp;MID(H32,SEARCH(" ",H32)+1,1)&amp;IFERROR(MID(H32,SEARCH(" ",H32,SEARCH(" ",H32)+1)+1,1),""),LEFT(H32,3)))&amp;IF(I32="","","-"&amp;IF(ISNUMBER(SEARCH(" ",I32)),LEFT(I32,1)&amp;MID(I32,SEARCH(" ",I32)+1,1)&amp;IFERROR(MID(I32,SEARCH(" ",I32,SEARCH(" ",I32)+1)+1,1),""),LEFT(I32,3)))&amp;IF(D32="","","-"&amp;D32)&amp;"-"&amp;TEXT(COUNTIF($H$4:H32,H32),"000")</f>
        <v>FYV-FEE-301-020</v>
      </c>
      <c r="H32" s="48" t="s">
        <v>607</v>
      </c>
      <c r="I32" s="28" t="s">
        <v>659</v>
      </c>
      <c r="J32" s="29" t="s">
        <v>372</v>
      </c>
      <c r="K32" s="30" t="s">
        <v>324</v>
      </c>
      <c r="L32" s="31" t="s">
        <v>141</v>
      </c>
      <c r="M32" s="31" t="s">
        <v>174</v>
      </c>
      <c r="N32" s="31" t="s">
        <v>141</v>
      </c>
      <c r="O32" s="31" t="s">
        <v>524</v>
      </c>
      <c r="P32" s="39">
        <v>840</v>
      </c>
      <c r="Q32" s="40">
        <f t="shared" si="11"/>
        <v>336</v>
      </c>
      <c r="R32" s="23">
        <v>240</v>
      </c>
      <c r="S32" s="158">
        <f t="shared" si="12"/>
        <v>96</v>
      </c>
      <c r="T32" s="24">
        <v>198</v>
      </c>
      <c r="U32" s="25">
        <f t="shared" si="13"/>
        <v>79.2</v>
      </c>
      <c r="V32" s="32">
        <f t="shared" si="10"/>
        <v>1278</v>
      </c>
      <c r="W32" s="32">
        <f t="shared" si="14"/>
        <v>511.20000000000005</v>
      </c>
      <c r="X32" s="110">
        <v>16.5</v>
      </c>
      <c r="Y32" s="160"/>
      <c r="Z32" s="33">
        <f t="shared" si="2"/>
        <v>13860</v>
      </c>
      <c r="AA32" s="33">
        <f t="shared" si="3"/>
        <v>5544</v>
      </c>
      <c r="AB32" s="33">
        <f t="shared" si="4"/>
        <v>3960</v>
      </c>
      <c r="AC32" s="33">
        <f t="shared" si="5"/>
        <v>1584</v>
      </c>
      <c r="AD32" s="33">
        <f t="shared" si="6"/>
        <v>3267</v>
      </c>
      <c r="AE32" s="33">
        <f t="shared" si="7"/>
        <v>1306.8</v>
      </c>
      <c r="AF32" s="33">
        <f t="shared" si="8"/>
        <v>21087</v>
      </c>
      <c r="AG32" s="33">
        <f t="shared" si="9"/>
        <v>8434.8000000000011</v>
      </c>
    </row>
    <row r="33" spans="1:33" ht="10" customHeight="1">
      <c r="A33" s="47">
        <v>30</v>
      </c>
      <c r="B33" s="126" t="s">
        <v>178</v>
      </c>
      <c r="C33" s="48" t="s">
        <v>0</v>
      </c>
      <c r="D33" s="48" t="s">
        <v>46</v>
      </c>
      <c r="E33" s="48" t="s">
        <v>102</v>
      </c>
      <c r="F33" s="48" t="s">
        <v>3</v>
      </c>
      <c r="G33" s="199" t="str">
        <f>IF(H33="","",IF(ISNUMBER(SEARCH(" ",H33)),LEFT(H33,1)&amp;MID(H33,SEARCH(" ",H33)+1,1)&amp;IFERROR(MID(H33,SEARCH(" ",H33,SEARCH(" ",H33)+1)+1,1),""),LEFT(H33,3)))&amp;IF(I33="","","-"&amp;IF(ISNUMBER(SEARCH(" ",I33)),LEFT(I33,1)&amp;MID(I33,SEARCH(" ",I33)+1,1)&amp;IFERROR(MID(I33,SEARCH(" ",I33,SEARCH(" ",I33)+1)+1,1),""),LEFT(I33,3)))&amp;IF(D33="","","-"&amp;D33)&amp;"-"&amp;TEXT(COUNTIF($H$4:H33,H33),"000")</f>
        <v>FYV-FEE-301-021</v>
      </c>
      <c r="H33" s="48" t="s">
        <v>607</v>
      </c>
      <c r="I33" s="48" t="s">
        <v>659</v>
      </c>
      <c r="J33" s="49" t="s">
        <v>373</v>
      </c>
      <c r="K33" s="50" t="s">
        <v>325</v>
      </c>
      <c r="L33" s="51" t="s">
        <v>141</v>
      </c>
      <c r="M33" s="51" t="s">
        <v>174</v>
      </c>
      <c r="N33" s="51" t="s">
        <v>141</v>
      </c>
      <c r="O33" s="51" t="s">
        <v>524</v>
      </c>
      <c r="P33" s="39">
        <v>0</v>
      </c>
      <c r="Q33" s="40">
        <f t="shared" si="11"/>
        <v>0</v>
      </c>
      <c r="R33" s="23">
        <v>0</v>
      </c>
      <c r="S33" s="158">
        <f t="shared" si="12"/>
        <v>0</v>
      </c>
      <c r="T33" s="24">
        <v>27</v>
      </c>
      <c r="U33" s="25">
        <f t="shared" si="13"/>
        <v>10.8</v>
      </c>
      <c r="V33" s="53">
        <f t="shared" si="10"/>
        <v>27</v>
      </c>
      <c r="W33" s="53">
        <f t="shared" si="14"/>
        <v>10.8</v>
      </c>
      <c r="X33" s="112">
        <v>14.2</v>
      </c>
      <c r="Y33" s="160"/>
      <c r="Z33" s="54">
        <f t="shared" si="2"/>
        <v>0</v>
      </c>
      <c r="AA33" s="54">
        <f t="shared" si="3"/>
        <v>0</v>
      </c>
      <c r="AB33" s="54">
        <f t="shared" si="4"/>
        <v>0</v>
      </c>
      <c r="AC33" s="54">
        <f t="shared" si="5"/>
        <v>0</v>
      </c>
      <c r="AD33" s="54">
        <f t="shared" si="6"/>
        <v>383.4</v>
      </c>
      <c r="AE33" s="54">
        <f t="shared" si="7"/>
        <v>153.36000000000001</v>
      </c>
      <c r="AF33" s="54">
        <f t="shared" si="8"/>
        <v>383.4</v>
      </c>
      <c r="AG33" s="54">
        <f t="shared" si="9"/>
        <v>153.36000000000001</v>
      </c>
    </row>
    <row r="34" spans="1:33" ht="10" customHeight="1">
      <c r="A34" s="47">
        <v>31</v>
      </c>
      <c r="B34" s="124" t="s">
        <v>178</v>
      </c>
      <c r="C34" s="28" t="s">
        <v>0</v>
      </c>
      <c r="D34" s="28" t="s">
        <v>46</v>
      </c>
      <c r="E34" s="28" t="s">
        <v>103</v>
      </c>
      <c r="F34" s="28" t="s">
        <v>3</v>
      </c>
      <c r="G34" s="199" t="str">
        <f>IF(H34="","",IF(ISNUMBER(SEARCH(" ",H34)),LEFT(H34,1)&amp;MID(H34,SEARCH(" ",H34)+1,1)&amp;IFERROR(MID(H34,SEARCH(" ",H34,SEARCH(" ",H34)+1)+1,1),""),LEFT(H34,3)))&amp;IF(I34="","","-"&amp;IF(ISNUMBER(SEARCH(" ",I34)),LEFT(I34,1)&amp;MID(I34,SEARCH(" ",I34)+1,1)&amp;IFERROR(MID(I34,SEARCH(" ",I34,SEARCH(" ",I34)+1)+1,1),""),LEFT(I34,3)))&amp;IF(D34="","","-"&amp;D34)&amp;"-"&amp;TEXT(COUNTIF($H$4:H34,H34),"000")</f>
        <v>FYV-FEE-301-022</v>
      </c>
      <c r="H34" s="48" t="s">
        <v>607</v>
      </c>
      <c r="I34" s="28" t="s">
        <v>659</v>
      </c>
      <c r="J34" s="29" t="s">
        <v>374</v>
      </c>
      <c r="K34" s="30" t="s">
        <v>205</v>
      </c>
      <c r="L34" s="31" t="s">
        <v>141</v>
      </c>
      <c r="M34" s="31" t="s">
        <v>174</v>
      </c>
      <c r="N34" s="31" t="s">
        <v>141</v>
      </c>
      <c r="O34" s="31" t="s">
        <v>524</v>
      </c>
      <c r="P34" s="39">
        <v>1200</v>
      </c>
      <c r="Q34" s="40">
        <f t="shared" si="11"/>
        <v>480</v>
      </c>
      <c r="R34" s="23">
        <v>60</v>
      </c>
      <c r="S34" s="158">
        <f t="shared" si="12"/>
        <v>24</v>
      </c>
      <c r="T34" s="24">
        <v>705</v>
      </c>
      <c r="U34" s="25">
        <f t="shared" si="13"/>
        <v>282</v>
      </c>
      <c r="V34" s="32">
        <f t="shared" si="10"/>
        <v>1965</v>
      </c>
      <c r="W34" s="32">
        <f t="shared" si="14"/>
        <v>786</v>
      </c>
      <c r="X34" s="110">
        <v>102.5</v>
      </c>
      <c r="Y34" s="160"/>
      <c r="Z34" s="33">
        <f t="shared" si="2"/>
        <v>123000</v>
      </c>
      <c r="AA34" s="33">
        <f t="shared" si="3"/>
        <v>49200</v>
      </c>
      <c r="AB34" s="33">
        <f t="shared" si="4"/>
        <v>6150</v>
      </c>
      <c r="AC34" s="33">
        <f t="shared" si="5"/>
        <v>2460</v>
      </c>
      <c r="AD34" s="33">
        <f t="shared" si="6"/>
        <v>72262.5</v>
      </c>
      <c r="AE34" s="33">
        <f t="shared" si="7"/>
        <v>28905</v>
      </c>
      <c r="AF34" s="33">
        <f t="shared" si="8"/>
        <v>201412.5</v>
      </c>
      <c r="AG34" s="33">
        <f t="shared" si="9"/>
        <v>80565</v>
      </c>
    </row>
    <row r="35" spans="1:33" ht="10" customHeight="1">
      <c r="A35" s="47">
        <v>32</v>
      </c>
      <c r="B35" s="126" t="s">
        <v>178</v>
      </c>
      <c r="C35" s="48" t="s">
        <v>0</v>
      </c>
      <c r="D35" s="48" t="s">
        <v>46</v>
      </c>
      <c r="E35" s="48" t="s">
        <v>104</v>
      </c>
      <c r="F35" s="48" t="s">
        <v>3</v>
      </c>
      <c r="G35" s="199" t="str">
        <f>IF(H35="","",IF(ISNUMBER(SEARCH(" ",H35)),LEFT(H35,1)&amp;MID(H35,SEARCH(" ",H35)+1,1)&amp;IFERROR(MID(H35,SEARCH(" ",H35,SEARCH(" ",H35)+1)+1,1),""),LEFT(H35,3)))&amp;IF(I35="","","-"&amp;IF(ISNUMBER(SEARCH(" ",I35)),LEFT(I35,1)&amp;MID(I35,SEARCH(" ",I35)+1,1)&amp;IFERROR(MID(I35,SEARCH(" ",I35,SEARCH(" ",I35)+1)+1,1),""),LEFT(I35,3)))&amp;IF(D35="","","-"&amp;D35)&amp;"-"&amp;TEXT(COUNTIF($H$4:H35,H35),"000")</f>
        <v>FYV-FEE-301-023</v>
      </c>
      <c r="H35" s="48" t="s">
        <v>607</v>
      </c>
      <c r="I35" s="48" t="s">
        <v>659</v>
      </c>
      <c r="J35" s="49" t="s">
        <v>375</v>
      </c>
      <c r="K35" s="50" t="s">
        <v>206</v>
      </c>
      <c r="L35" s="51" t="s">
        <v>141</v>
      </c>
      <c r="M35" s="51" t="s">
        <v>174</v>
      </c>
      <c r="N35" s="51" t="s">
        <v>141</v>
      </c>
      <c r="O35" s="51" t="s">
        <v>524</v>
      </c>
      <c r="P35" s="39">
        <v>960</v>
      </c>
      <c r="Q35" s="40">
        <f t="shared" si="11"/>
        <v>384</v>
      </c>
      <c r="R35" s="23">
        <v>300</v>
      </c>
      <c r="S35" s="158">
        <f t="shared" si="12"/>
        <v>120</v>
      </c>
      <c r="T35" s="24">
        <v>526</v>
      </c>
      <c r="U35" s="25">
        <f t="shared" si="13"/>
        <v>210.4</v>
      </c>
      <c r="V35" s="53">
        <f t="shared" si="10"/>
        <v>1786</v>
      </c>
      <c r="W35" s="53">
        <f t="shared" si="14"/>
        <v>714.40000000000009</v>
      </c>
      <c r="X35" s="112">
        <v>23.8</v>
      </c>
      <c r="Y35" s="160"/>
      <c r="Z35" s="54">
        <f t="shared" si="2"/>
        <v>22848</v>
      </c>
      <c r="AA35" s="54">
        <f t="shared" si="3"/>
        <v>9139.2000000000007</v>
      </c>
      <c r="AB35" s="54">
        <f t="shared" si="4"/>
        <v>7140</v>
      </c>
      <c r="AC35" s="54">
        <f t="shared" si="5"/>
        <v>2856</v>
      </c>
      <c r="AD35" s="54">
        <f t="shared" si="6"/>
        <v>12518.800000000001</v>
      </c>
      <c r="AE35" s="54">
        <f t="shared" si="7"/>
        <v>5007.5200000000004</v>
      </c>
      <c r="AF35" s="54">
        <f t="shared" si="8"/>
        <v>42506.8</v>
      </c>
      <c r="AG35" s="54">
        <f t="shared" si="9"/>
        <v>17002.72</v>
      </c>
    </row>
    <row r="36" spans="1:33" ht="10" customHeight="1">
      <c r="A36" s="47">
        <v>33</v>
      </c>
      <c r="B36" s="124" t="s">
        <v>178</v>
      </c>
      <c r="C36" s="28" t="s">
        <v>0</v>
      </c>
      <c r="D36" s="28" t="s">
        <v>46</v>
      </c>
      <c r="E36" s="28" t="s">
        <v>105</v>
      </c>
      <c r="F36" s="28" t="s">
        <v>3</v>
      </c>
      <c r="G36" s="199" t="str">
        <f>IF(H36="","",IF(ISNUMBER(SEARCH(" ",H36)),LEFT(H36,1)&amp;MID(H36,SEARCH(" ",H36)+1,1)&amp;IFERROR(MID(H36,SEARCH(" ",H36,SEARCH(" ",H36)+1)+1,1),""),LEFT(H36,3)))&amp;IF(I36="","","-"&amp;IF(ISNUMBER(SEARCH(" ",I36)),LEFT(I36,1)&amp;MID(I36,SEARCH(" ",I36)+1,1)&amp;IFERROR(MID(I36,SEARCH(" ",I36,SEARCH(" ",I36)+1)+1,1),""),LEFT(I36,3)))&amp;IF(D36="","","-"&amp;D36)&amp;"-"&amp;TEXT(COUNTIF($H$4:H36,H36),"000")</f>
        <v>FYV-FEE-301-024</v>
      </c>
      <c r="H36" s="48" t="s">
        <v>607</v>
      </c>
      <c r="I36" s="28" t="s">
        <v>659</v>
      </c>
      <c r="J36" s="29" t="s">
        <v>376</v>
      </c>
      <c r="K36" s="30" t="s">
        <v>207</v>
      </c>
      <c r="L36" s="31" t="s">
        <v>141</v>
      </c>
      <c r="M36" s="31" t="s">
        <v>174</v>
      </c>
      <c r="N36" s="31" t="s">
        <v>141</v>
      </c>
      <c r="O36" s="31" t="s">
        <v>524</v>
      </c>
      <c r="P36" s="39">
        <v>0</v>
      </c>
      <c r="Q36" s="40">
        <f t="shared" si="11"/>
        <v>0</v>
      </c>
      <c r="R36" s="23">
        <v>0</v>
      </c>
      <c r="S36" s="158">
        <f t="shared" si="12"/>
        <v>0</v>
      </c>
      <c r="T36" s="24">
        <v>0</v>
      </c>
      <c r="U36" s="25">
        <f t="shared" si="13"/>
        <v>0</v>
      </c>
      <c r="V36" s="32">
        <f t="shared" si="10"/>
        <v>0</v>
      </c>
      <c r="W36" s="32">
        <f t="shared" si="14"/>
        <v>0</v>
      </c>
      <c r="X36" s="105">
        <v>102.5</v>
      </c>
      <c r="Y36" s="160"/>
      <c r="Z36" s="33">
        <f t="shared" ref="Z36:Z67" si="15">X36*P36</f>
        <v>0</v>
      </c>
      <c r="AA36" s="33">
        <f t="shared" ref="AA36:AA67" si="16">X36*Q36</f>
        <v>0</v>
      </c>
      <c r="AB36" s="33">
        <f t="shared" ref="AB36:AB67" si="17">X36*R36</f>
        <v>0</v>
      </c>
      <c r="AC36" s="33">
        <f t="shared" ref="AC36:AC67" si="18">X36*S36</f>
        <v>0</v>
      </c>
      <c r="AD36" s="33">
        <f t="shared" ref="AD36:AD67" si="19">X36*T36</f>
        <v>0</v>
      </c>
      <c r="AE36" s="33">
        <f t="shared" ref="AE36:AE67" si="20">X36*U36</f>
        <v>0</v>
      </c>
      <c r="AF36" s="33">
        <f t="shared" ref="AF36:AF67" si="21">X36*V36</f>
        <v>0</v>
      </c>
      <c r="AG36" s="33">
        <f t="shared" ref="AG36:AG67" si="22">X36*W36</f>
        <v>0</v>
      </c>
    </row>
    <row r="37" spans="1:33" ht="10" customHeight="1">
      <c r="A37" s="47">
        <v>34</v>
      </c>
      <c r="B37" s="126" t="s">
        <v>178</v>
      </c>
      <c r="C37" s="48" t="s">
        <v>0</v>
      </c>
      <c r="D37" s="48" t="s">
        <v>28</v>
      </c>
      <c r="E37" s="48" t="s">
        <v>7</v>
      </c>
      <c r="F37" s="48" t="s">
        <v>3</v>
      </c>
      <c r="G37" s="199" t="str">
        <f>IF(H37="","",IF(ISNUMBER(SEARCH(" ",H37)),LEFT(H37,1)&amp;MID(H37,SEARCH(" ",H37)+1,1)&amp;IFERROR(MID(H37,SEARCH(" ",H37,SEARCH(" ",H37)+1)+1,1),""),LEFT(H37,3)))&amp;IF(I37="","","-"&amp;IF(ISNUMBER(SEARCH(" ",I37)),LEFT(I37,1)&amp;MID(I37,SEARCH(" ",I37)+1,1)&amp;IFERROR(MID(I37,SEARCH(" ",I37,SEARCH(" ",I37)+1)+1,1),""),LEFT(I37,3)))&amp;IF(D37="","","-"&amp;D37)&amp;"-"&amp;TEXT(COUNTIF($H$4:H37,H37),"000")</f>
        <v>FYV-VEE-302-025</v>
      </c>
      <c r="H37" s="48" t="s">
        <v>607</v>
      </c>
      <c r="I37" s="48" t="s">
        <v>660</v>
      </c>
      <c r="J37" s="49" t="s">
        <v>377</v>
      </c>
      <c r="K37" s="50" t="s">
        <v>208</v>
      </c>
      <c r="L37" s="51" t="s">
        <v>141</v>
      </c>
      <c r="M37" s="51" t="s">
        <v>174</v>
      </c>
      <c r="N37" s="51" t="s">
        <v>141</v>
      </c>
      <c r="O37" s="51" t="s">
        <v>524</v>
      </c>
      <c r="P37" s="39">
        <v>300</v>
      </c>
      <c r="Q37" s="40">
        <f t="shared" si="11"/>
        <v>120</v>
      </c>
      <c r="R37" s="23">
        <v>180</v>
      </c>
      <c r="S37" s="158">
        <f t="shared" si="12"/>
        <v>72</v>
      </c>
      <c r="T37" s="24">
        <v>205</v>
      </c>
      <c r="U37" s="25">
        <f t="shared" si="13"/>
        <v>82</v>
      </c>
      <c r="V37" s="53">
        <f t="shared" si="10"/>
        <v>685</v>
      </c>
      <c r="W37" s="53">
        <f t="shared" si="14"/>
        <v>274</v>
      </c>
      <c r="X37" s="112">
        <v>15</v>
      </c>
      <c r="Y37" s="160"/>
      <c r="Z37" s="54">
        <f t="shared" si="15"/>
        <v>4500</v>
      </c>
      <c r="AA37" s="54">
        <f t="shared" si="16"/>
        <v>1800</v>
      </c>
      <c r="AB37" s="54">
        <f t="shared" si="17"/>
        <v>2700</v>
      </c>
      <c r="AC37" s="54">
        <f t="shared" si="18"/>
        <v>1080</v>
      </c>
      <c r="AD37" s="54">
        <f t="shared" si="19"/>
        <v>3075</v>
      </c>
      <c r="AE37" s="54">
        <f t="shared" si="20"/>
        <v>1230</v>
      </c>
      <c r="AF37" s="54">
        <f t="shared" si="21"/>
        <v>10275</v>
      </c>
      <c r="AG37" s="54">
        <f t="shared" si="22"/>
        <v>4110</v>
      </c>
    </row>
    <row r="38" spans="1:33" ht="10" customHeight="1">
      <c r="A38" s="47">
        <v>35</v>
      </c>
      <c r="B38" s="124" t="s">
        <v>178</v>
      </c>
      <c r="C38" s="28" t="s">
        <v>0</v>
      </c>
      <c r="D38" s="28" t="s">
        <v>28</v>
      </c>
      <c r="E38" s="28" t="s">
        <v>83</v>
      </c>
      <c r="F38" s="28" t="s">
        <v>3</v>
      </c>
      <c r="G38" s="199" t="str">
        <f>IF(H38="","",IF(ISNUMBER(SEARCH(" ",H38)),LEFT(H38,1)&amp;MID(H38,SEARCH(" ",H38)+1,1)&amp;IFERROR(MID(H38,SEARCH(" ",H38,SEARCH(" ",H38)+1)+1,1),""),LEFT(H38,3)))&amp;IF(I38="","","-"&amp;IF(ISNUMBER(SEARCH(" ",I38)),LEFT(I38,1)&amp;MID(I38,SEARCH(" ",I38)+1,1)&amp;IFERROR(MID(I38,SEARCH(" ",I38,SEARCH(" ",I38)+1)+1,1),""),LEFT(I38,3)))&amp;IF(D38="","","-"&amp;D38)&amp;"-"&amp;TEXT(COUNTIF($H$4:H38,H38),"000")</f>
        <v>FYV-VEE-302-026</v>
      </c>
      <c r="H38" s="48" t="s">
        <v>607</v>
      </c>
      <c r="I38" s="28" t="s">
        <v>660</v>
      </c>
      <c r="J38" s="29" t="s">
        <v>378</v>
      </c>
      <c r="K38" s="30" t="s">
        <v>106</v>
      </c>
      <c r="L38" s="31" t="s">
        <v>141</v>
      </c>
      <c r="M38" s="31" t="s">
        <v>174</v>
      </c>
      <c r="N38" s="31" t="s">
        <v>141</v>
      </c>
      <c r="O38" s="31" t="s">
        <v>524</v>
      </c>
      <c r="P38" s="39">
        <v>420</v>
      </c>
      <c r="Q38" s="40">
        <f t="shared" si="11"/>
        <v>168</v>
      </c>
      <c r="R38" s="23">
        <v>180</v>
      </c>
      <c r="S38" s="158">
        <f t="shared" si="12"/>
        <v>72</v>
      </c>
      <c r="T38" s="24">
        <v>381</v>
      </c>
      <c r="U38" s="25">
        <f t="shared" si="13"/>
        <v>152.4</v>
      </c>
      <c r="V38" s="32">
        <f t="shared" si="10"/>
        <v>981</v>
      </c>
      <c r="W38" s="32">
        <f t="shared" si="14"/>
        <v>392.40000000000003</v>
      </c>
      <c r="X38" s="110">
        <v>79</v>
      </c>
      <c r="Y38" s="160"/>
      <c r="Z38" s="33">
        <f t="shared" si="15"/>
        <v>33180</v>
      </c>
      <c r="AA38" s="33">
        <f t="shared" si="16"/>
        <v>13272</v>
      </c>
      <c r="AB38" s="33">
        <f t="shared" si="17"/>
        <v>14220</v>
      </c>
      <c r="AC38" s="33">
        <f t="shared" si="18"/>
        <v>5688</v>
      </c>
      <c r="AD38" s="33">
        <f t="shared" si="19"/>
        <v>30099</v>
      </c>
      <c r="AE38" s="33">
        <f t="shared" si="20"/>
        <v>12039.6</v>
      </c>
      <c r="AF38" s="33">
        <f t="shared" si="21"/>
        <v>77499</v>
      </c>
      <c r="AG38" s="33">
        <f t="shared" si="22"/>
        <v>30999.600000000002</v>
      </c>
    </row>
    <row r="39" spans="1:33" ht="10" customHeight="1">
      <c r="A39" s="47">
        <v>36</v>
      </c>
      <c r="B39" s="126" t="s">
        <v>178</v>
      </c>
      <c r="C39" s="48" t="s">
        <v>0</v>
      </c>
      <c r="D39" s="120" t="s">
        <v>9</v>
      </c>
      <c r="E39" s="48" t="s">
        <v>7</v>
      </c>
      <c r="F39" s="48" t="s">
        <v>3</v>
      </c>
      <c r="G39" s="199" t="str">
        <f>IF(H39="","",IF(ISNUMBER(SEARCH(" ",H39)),LEFT(H39,1)&amp;MID(H39,SEARCH(" ",H39)+1,1)&amp;IFERROR(MID(H39,SEARCH(" ",H39,SEARCH(" ",H39)+1)+1,1),""),LEFT(H39,3)))&amp;IF(I39="","","-"&amp;IF(ISNUMBER(SEARCH(" ",I39)),LEFT(I39,1)&amp;MID(I39,SEARCH(" ",I39)+1,1)&amp;IFERROR(MID(I39,SEARCH(" ",I39,SEARCH(" ",I39)+1)+1,1),""),LEFT(I39,3)))&amp;IF(D39="","","-"&amp;D39)&amp;"-"&amp;TEXT(COUNTIF($H$4:H39,H39),"000")</f>
        <v>FYV-VEE-802-027</v>
      </c>
      <c r="H39" s="48" t="s">
        <v>607</v>
      </c>
      <c r="I39" s="120" t="s">
        <v>660</v>
      </c>
      <c r="J39" s="49" t="s">
        <v>379</v>
      </c>
      <c r="K39" s="50" t="s">
        <v>209</v>
      </c>
      <c r="L39" s="51" t="s">
        <v>141</v>
      </c>
      <c r="M39" s="51" t="s">
        <v>174</v>
      </c>
      <c r="N39" s="51" t="s">
        <v>141</v>
      </c>
      <c r="O39" s="51" t="s">
        <v>524</v>
      </c>
      <c r="P39" s="39">
        <v>360</v>
      </c>
      <c r="Q39" s="40">
        <f t="shared" si="11"/>
        <v>144</v>
      </c>
      <c r="R39" s="23">
        <v>12</v>
      </c>
      <c r="S39" s="158">
        <f t="shared" si="12"/>
        <v>4.8000000000000007</v>
      </c>
      <c r="T39" s="24">
        <v>60</v>
      </c>
      <c r="U39" s="25">
        <f t="shared" si="13"/>
        <v>24</v>
      </c>
      <c r="V39" s="53">
        <f t="shared" si="10"/>
        <v>432</v>
      </c>
      <c r="W39" s="53">
        <f t="shared" si="14"/>
        <v>172.8</v>
      </c>
      <c r="X39" s="112">
        <v>96</v>
      </c>
      <c r="Y39" s="160"/>
      <c r="Z39" s="54">
        <f t="shared" si="15"/>
        <v>34560</v>
      </c>
      <c r="AA39" s="54">
        <f t="shared" si="16"/>
        <v>13824</v>
      </c>
      <c r="AB39" s="54">
        <f t="shared" si="17"/>
        <v>1152</v>
      </c>
      <c r="AC39" s="54">
        <f t="shared" si="18"/>
        <v>460.80000000000007</v>
      </c>
      <c r="AD39" s="54">
        <f t="shared" si="19"/>
        <v>5760</v>
      </c>
      <c r="AE39" s="54">
        <f t="shared" si="20"/>
        <v>2304</v>
      </c>
      <c r="AF39" s="54">
        <f t="shared" si="21"/>
        <v>41472</v>
      </c>
      <c r="AG39" s="54">
        <f t="shared" si="22"/>
        <v>16588.800000000003</v>
      </c>
    </row>
    <row r="40" spans="1:33" ht="10" customHeight="1">
      <c r="A40" s="47">
        <v>37</v>
      </c>
      <c r="B40" s="124" t="s">
        <v>178</v>
      </c>
      <c r="C40" s="28" t="s">
        <v>0</v>
      </c>
      <c r="D40" s="28" t="s">
        <v>28</v>
      </c>
      <c r="E40" s="28" t="s">
        <v>24</v>
      </c>
      <c r="F40" s="28" t="s">
        <v>3</v>
      </c>
      <c r="G40" s="199" t="str">
        <f>IF(H40="","",IF(ISNUMBER(SEARCH(" ",H40)),LEFT(H40,1)&amp;MID(H40,SEARCH(" ",H40)+1,1)&amp;IFERROR(MID(H40,SEARCH(" ",H40,SEARCH(" ",H40)+1)+1,1),""),LEFT(H40,3)))&amp;IF(I40="","","-"&amp;IF(ISNUMBER(SEARCH(" ",I40)),LEFT(I40,1)&amp;MID(I40,SEARCH(" ",I40)+1,1)&amp;IFERROR(MID(I40,SEARCH(" ",I40,SEARCH(" ",I40)+1)+1,1),""),LEFT(I40,3)))&amp;IF(D40="","","-"&amp;D40)&amp;"-"&amp;TEXT(COUNTIF($H$4:H40,H40),"000")</f>
        <v>FYV-VEE-302-028</v>
      </c>
      <c r="H40" s="48" t="s">
        <v>607</v>
      </c>
      <c r="I40" s="28" t="s">
        <v>660</v>
      </c>
      <c r="J40" s="29" t="s">
        <v>644</v>
      </c>
      <c r="K40" s="30" t="s">
        <v>279</v>
      </c>
      <c r="L40" s="31" t="s">
        <v>141</v>
      </c>
      <c r="M40" s="31" t="s">
        <v>174</v>
      </c>
      <c r="N40" s="31" t="s">
        <v>141</v>
      </c>
      <c r="O40" s="31" t="s">
        <v>524</v>
      </c>
      <c r="P40" s="39">
        <v>360</v>
      </c>
      <c r="Q40" s="40">
        <f t="shared" si="11"/>
        <v>144</v>
      </c>
      <c r="R40" s="23">
        <v>36</v>
      </c>
      <c r="S40" s="158">
        <f t="shared" si="12"/>
        <v>14.4</v>
      </c>
      <c r="T40" s="24">
        <v>81</v>
      </c>
      <c r="U40" s="25">
        <f t="shared" si="13"/>
        <v>32.4</v>
      </c>
      <c r="V40" s="32">
        <f t="shared" si="10"/>
        <v>477</v>
      </c>
      <c r="W40" s="32">
        <f t="shared" si="14"/>
        <v>190.8</v>
      </c>
      <c r="X40" s="110">
        <v>16</v>
      </c>
      <c r="Y40" s="160"/>
      <c r="Z40" s="33">
        <f t="shared" si="15"/>
        <v>5760</v>
      </c>
      <c r="AA40" s="33">
        <f t="shared" si="16"/>
        <v>2304</v>
      </c>
      <c r="AB40" s="33">
        <f t="shared" si="17"/>
        <v>576</v>
      </c>
      <c r="AC40" s="33">
        <f t="shared" si="18"/>
        <v>230.4</v>
      </c>
      <c r="AD40" s="33">
        <f t="shared" si="19"/>
        <v>1296</v>
      </c>
      <c r="AE40" s="33">
        <f t="shared" si="20"/>
        <v>518.4</v>
      </c>
      <c r="AF40" s="33">
        <f t="shared" si="21"/>
        <v>7632</v>
      </c>
      <c r="AG40" s="33">
        <f t="shared" si="22"/>
        <v>3052.8</v>
      </c>
    </row>
    <row r="41" spans="1:33" ht="10" customHeight="1">
      <c r="A41" s="47">
        <v>38</v>
      </c>
      <c r="B41" s="126" t="s">
        <v>178</v>
      </c>
      <c r="C41" s="48" t="s">
        <v>0</v>
      </c>
      <c r="D41" s="48" t="s">
        <v>28</v>
      </c>
      <c r="E41" s="48" t="s">
        <v>27</v>
      </c>
      <c r="F41" s="48" t="s">
        <v>3</v>
      </c>
      <c r="G41" s="199" t="str">
        <f>IF(H41="","",IF(ISNUMBER(SEARCH(" ",H41)),LEFT(H41,1)&amp;MID(H41,SEARCH(" ",H41)+1,1)&amp;IFERROR(MID(H41,SEARCH(" ",H41,SEARCH(" ",H41)+1)+1,1),""),LEFT(H41,3)))&amp;IF(I41="","","-"&amp;IF(ISNUMBER(SEARCH(" ",I41)),LEFT(I41,1)&amp;MID(I41,SEARCH(" ",I41)+1,1)&amp;IFERROR(MID(I41,SEARCH(" ",I41,SEARCH(" ",I41)+1)+1,1),""),LEFT(I41,3)))&amp;IF(D41="","","-"&amp;D41)&amp;"-"&amp;TEXT(COUNTIF($H$4:H41,H41),"000")</f>
        <v>FYV-VEE-302-029</v>
      </c>
      <c r="H41" s="48" t="s">
        <v>607</v>
      </c>
      <c r="I41" s="48" t="s">
        <v>660</v>
      </c>
      <c r="J41" s="49" t="s">
        <v>380</v>
      </c>
      <c r="K41" s="50" t="s">
        <v>280</v>
      </c>
      <c r="L41" s="51" t="s">
        <v>141</v>
      </c>
      <c r="M41" s="51" t="s">
        <v>174</v>
      </c>
      <c r="N41" s="51" t="s">
        <v>141</v>
      </c>
      <c r="O41" s="51" t="s">
        <v>524</v>
      </c>
      <c r="P41" s="39">
        <v>0</v>
      </c>
      <c r="Q41" s="40">
        <f t="shared" si="11"/>
        <v>0</v>
      </c>
      <c r="R41" s="23">
        <v>24</v>
      </c>
      <c r="S41" s="158">
        <f t="shared" si="12"/>
        <v>9.6000000000000014</v>
      </c>
      <c r="T41" s="24">
        <v>96</v>
      </c>
      <c r="U41" s="25">
        <f t="shared" si="13"/>
        <v>38.400000000000006</v>
      </c>
      <c r="V41" s="53">
        <f t="shared" si="10"/>
        <v>120</v>
      </c>
      <c r="W41" s="53">
        <f t="shared" si="14"/>
        <v>48</v>
      </c>
      <c r="X41" s="112">
        <v>10.5</v>
      </c>
      <c r="Y41" s="160"/>
      <c r="Z41" s="54">
        <f t="shared" si="15"/>
        <v>0</v>
      </c>
      <c r="AA41" s="54">
        <f t="shared" si="16"/>
        <v>0</v>
      </c>
      <c r="AB41" s="54">
        <f t="shared" si="17"/>
        <v>252</v>
      </c>
      <c r="AC41" s="54">
        <f t="shared" si="18"/>
        <v>100.80000000000001</v>
      </c>
      <c r="AD41" s="54">
        <f t="shared" si="19"/>
        <v>1008</v>
      </c>
      <c r="AE41" s="54">
        <f t="shared" si="20"/>
        <v>403.20000000000005</v>
      </c>
      <c r="AF41" s="54">
        <f t="shared" si="21"/>
        <v>1260</v>
      </c>
      <c r="AG41" s="54">
        <f t="shared" si="22"/>
        <v>504</v>
      </c>
    </row>
    <row r="42" spans="1:33" ht="10" customHeight="1">
      <c r="A42" s="47">
        <v>39</v>
      </c>
      <c r="B42" s="124" t="s">
        <v>178</v>
      </c>
      <c r="C42" s="28" t="s">
        <v>0</v>
      </c>
      <c r="D42" s="28" t="s">
        <v>28</v>
      </c>
      <c r="E42" s="28" t="s">
        <v>107</v>
      </c>
      <c r="F42" s="28" t="s">
        <v>3</v>
      </c>
      <c r="G42" s="199" t="str">
        <f>IF(H42="","",IF(ISNUMBER(SEARCH(" ",H42)),LEFT(H42,1)&amp;MID(H42,SEARCH(" ",H42)+1,1)&amp;IFERROR(MID(H42,SEARCH(" ",H42,SEARCH(" ",H42)+1)+1,1),""),LEFT(H42,3)))&amp;IF(I42="","","-"&amp;IF(ISNUMBER(SEARCH(" ",I42)),LEFT(I42,1)&amp;MID(I42,SEARCH(" ",I42)+1,1)&amp;IFERROR(MID(I42,SEARCH(" ",I42,SEARCH(" ",I42)+1)+1,1),""),LEFT(I42,3)))&amp;IF(D42="","","-"&amp;D42)&amp;"-"&amp;TEXT(COUNTIF($H$4:H42,H42),"000")</f>
        <v>FYV-VEE-302-030</v>
      </c>
      <c r="H42" s="48" t="s">
        <v>607</v>
      </c>
      <c r="I42" s="28" t="s">
        <v>660</v>
      </c>
      <c r="J42" s="29" t="s">
        <v>381</v>
      </c>
      <c r="K42" s="30" t="s">
        <v>210</v>
      </c>
      <c r="L42" s="31" t="s">
        <v>141</v>
      </c>
      <c r="M42" s="31" t="s">
        <v>174</v>
      </c>
      <c r="N42" s="31" t="s">
        <v>141</v>
      </c>
      <c r="O42" s="31" t="s">
        <v>524</v>
      </c>
      <c r="P42" s="39">
        <v>10800</v>
      </c>
      <c r="Q42" s="40">
        <f t="shared" si="11"/>
        <v>4320</v>
      </c>
      <c r="R42" s="23">
        <v>2400</v>
      </c>
      <c r="S42" s="158">
        <f t="shared" si="12"/>
        <v>960</v>
      </c>
      <c r="T42" s="24">
        <v>1695</v>
      </c>
      <c r="U42" s="25">
        <f t="shared" si="13"/>
        <v>678</v>
      </c>
      <c r="V42" s="32">
        <f t="shared" si="10"/>
        <v>14895</v>
      </c>
      <c r="W42" s="32">
        <f t="shared" si="14"/>
        <v>5958</v>
      </c>
      <c r="X42" s="110">
        <v>18</v>
      </c>
      <c r="Y42" s="160"/>
      <c r="Z42" s="33">
        <f t="shared" si="15"/>
        <v>194400</v>
      </c>
      <c r="AA42" s="33">
        <f t="shared" si="16"/>
        <v>77760</v>
      </c>
      <c r="AB42" s="33">
        <f t="shared" si="17"/>
        <v>43200</v>
      </c>
      <c r="AC42" s="33">
        <f t="shared" si="18"/>
        <v>17280</v>
      </c>
      <c r="AD42" s="33">
        <f t="shared" si="19"/>
        <v>30510</v>
      </c>
      <c r="AE42" s="33">
        <f t="shared" si="20"/>
        <v>12204</v>
      </c>
      <c r="AF42" s="33">
        <f t="shared" si="21"/>
        <v>268110</v>
      </c>
      <c r="AG42" s="33">
        <f t="shared" si="22"/>
        <v>107244</v>
      </c>
    </row>
    <row r="43" spans="1:33" ht="10" customHeight="1">
      <c r="A43" s="47">
        <v>40</v>
      </c>
      <c r="B43" s="126" t="s">
        <v>178</v>
      </c>
      <c r="C43" s="48" t="s">
        <v>0</v>
      </c>
      <c r="D43" s="48" t="s">
        <v>28</v>
      </c>
      <c r="E43" s="48" t="s">
        <v>56</v>
      </c>
      <c r="F43" s="48" t="s">
        <v>3</v>
      </c>
      <c r="G43" s="199" t="str">
        <f>IF(H43="","",IF(ISNUMBER(SEARCH(" ",H43)),LEFT(H43,1)&amp;MID(H43,SEARCH(" ",H43)+1,1)&amp;IFERROR(MID(H43,SEARCH(" ",H43,SEARCH(" ",H43)+1)+1,1),""),LEFT(H43,3)))&amp;IF(I43="","","-"&amp;IF(ISNUMBER(SEARCH(" ",I43)),LEFT(I43,1)&amp;MID(I43,SEARCH(" ",I43)+1,1)&amp;IFERROR(MID(I43,SEARCH(" ",I43,SEARCH(" ",I43)+1)+1,1),""),LEFT(I43,3)))&amp;IF(D43="","","-"&amp;D43)&amp;"-"&amp;TEXT(COUNTIF($H$4:H43,H43),"000")</f>
        <v>FYV-VEE-302-031</v>
      </c>
      <c r="H43" s="48" t="s">
        <v>607</v>
      </c>
      <c r="I43" s="48" t="s">
        <v>660</v>
      </c>
      <c r="J43" s="49" t="s">
        <v>382</v>
      </c>
      <c r="K43" s="50" t="s">
        <v>281</v>
      </c>
      <c r="L43" s="51" t="s">
        <v>141</v>
      </c>
      <c r="M43" s="51" t="s">
        <v>174</v>
      </c>
      <c r="N43" s="51" t="s">
        <v>141</v>
      </c>
      <c r="O43" s="51" t="s">
        <v>524</v>
      </c>
      <c r="P43" s="39">
        <v>6600</v>
      </c>
      <c r="Q43" s="40">
        <f t="shared" si="11"/>
        <v>2640</v>
      </c>
      <c r="R43" s="23">
        <v>720</v>
      </c>
      <c r="S43" s="158">
        <f t="shared" si="12"/>
        <v>288</v>
      </c>
      <c r="T43" s="24">
        <v>1687</v>
      </c>
      <c r="U43" s="25">
        <f t="shared" si="13"/>
        <v>674.80000000000007</v>
      </c>
      <c r="V43" s="53">
        <f t="shared" si="10"/>
        <v>9007</v>
      </c>
      <c r="W43" s="53">
        <f t="shared" si="14"/>
        <v>3602.8</v>
      </c>
      <c r="X43" s="112">
        <v>21.5</v>
      </c>
      <c r="Y43" s="160"/>
      <c r="Z43" s="54">
        <f t="shared" si="15"/>
        <v>141900</v>
      </c>
      <c r="AA43" s="54">
        <f t="shared" si="16"/>
        <v>56760</v>
      </c>
      <c r="AB43" s="54">
        <f t="shared" si="17"/>
        <v>15480</v>
      </c>
      <c r="AC43" s="54">
        <f t="shared" si="18"/>
        <v>6192</v>
      </c>
      <c r="AD43" s="54">
        <f t="shared" si="19"/>
        <v>36270.5</v>
      </c>
      <c r="AE43" s="54">
        <f t="shared" si="20"/>
        <v>14508.2</v>
      </c>
      <c r="AF43" s="54">
        <f t="shared" si="21"/>
        <v>193650.5</v>
      </c>
      <c r="AG43" s="54">
        <f t="shared" si="22"/>
        <v>77460.2</v>
      </c>
    </row>
    <row r="44" spans="1:33" ht="10" customHeight="1">
      <c r="A44" s="47">
        <v>41</v>
      </c>
      <c r="B44" s="124" t="s">
        <v>178</v>
      </c>
      <c r="C44" s="28" t="s">
        <v>0</v>
      </c>
      <c r="D44" s="28" t="s">
        <v>28</v>
      </c>
      <c r="E44" s="28" t="s">
        <v>71</v>
      </c>
      <c r="F44" s="28" t="s">
        <v>3</v>
      </c>
      <c r="G44" s="199" t="str">
        <f>IF(H44="","",IF(ISNUMBER(SEARCH(" ",H44)),LEFT(H44,1)&amp;MID(H44,SEARCH(" ",H44)+1,1)&amp;IFERROR(MID(H44,SEARCH(" ",H44,SEARCH(" ",H44)+1)+1,1),""),LEFT(H44,3)))&amp;IF(I44="","","-"&amp;IF(ISNUMBER(SEARCH(" ",I44)),LEFT(I44,1)&amp;MID(I44,SEARCH(" ",I44)+1,1)&amp;IFERROR(MID(I44,SEARCH(" ",I44,SEARCH(" ",I44)+1)+1,1),""),LEFT(I44,3)))&amp;IF(D44="","","-"&amp;D44)&amp;"-"&amp;TEXT(COUNTIF($H$4:H44,H44),"000")</f>
        <v>FYV-VEE-302-032</v>
      </c>
      <c r="H44" s="48" t="s">
        <v>607</v>
      </c>
      <c r="I44" s="28" t="s">
        <v>660</v>
      </c>
      <c r="J44" s="29" t="s">
        <v>383</v>
      </c>
      <c r="K44" s="30" t="s">
        <v>282</v>
      </c>
      <c r="L44" s="31" t="s">
        <v>141</v>
      </c>
      <c r="M44" s="31" t="s">
        <v>174</v>
      </c>
      <c r="N44" s="31" t="s">
        <v>141</v>
      </c>
      <c r="O44" s="31" t="s">
        <v>524</v>
      </c>
      <c r="P44" s="39">
        <v>0</v>
      </c>
      <c r="Q44" s="40">
        <f t="shared" si="11"/>
        <v>0</v>
      </c>
      <c r="R44" s="23">
        <v>120</v>
      </c>
      <c r="S44" s="158">
        <f t="shared" si="12"/>
        <v>48</v>
      </c>
      <c r="T44" s="24">
        <v>120</v>
      </c>
      <c r="U44" s="25">
        <f t="shared" si="13"/>
        <v>48</v>
      </c>
      <c r="V44" s="32">
        <f t="shared" si="10"/>
        <v>240</v>
      </c>
      <c r="W44" s="32">
        <f t="shared" si="14"/>
        <v>96</v>
      </c>
      <c r="X44" s="110">
        <v>15.2</v>
      </c>
      <c r="Y44" s="160"/>
      <c r="Z44" s="33">
        <f t="shared" si="15"/>
        <v>0</v>
      </c>
      <c r="AA44" s="33">
        <f t="shared" si="16"/>
        <v>0</v>
      </c>
      <c r="AB44" s="33">
        <f t="shared" si="17"/>
        <v>1824</v>
      </c>
      <c r="AC44" s="33">
        <f t="shared" si="18"/>
        <v>729.59999999999991</v>
      </c>
      <c r="AD44" s="33">
        <f t="shared" si="19"/>
        <v>1824</v>
      </c>
      <c r="AE44" s="33">
        <f t="shared" si="20"/>
        <v>729.59999999999991</v>
      </c>
      <c r="AF44" s="33">
        <f t="shared" si="21"/>
        <v>3648</v>
      </c>
      <c r="AG44" s="33">
        <f t="shared" si="22"/>
        <v>1459.1999999999998</v>
      </c>
    </row>
    <row r="45" spans="1:33" ht="10" customHeight="1">
      <c r="A45" s="47">
        <v>42</v>
      </c>
      <c r="B45" s="126" t="s">
        <v>178</v>
      </c>
      <c r="C45" s="48" t="s">
        <v>0</v>
      </c>
      <c r="D45" s="48" t="s">
        <v>28</v>
      </c>
      <c r="E45" s="48" t="s">
        <v>87</v>
      </c>
      <c r="F45" s="48" t="s">
        <v>3</v>
      </c>
      <c r="G45" s="199" t="str">
        <f>IF(H45="","",IF(ISNUMBER(SEARCH(" ",H45)),LEFT(H45,1)&amp;MID(H45,SEARCH(" ",H45)+1,1)&amp;IFERROR(MID(H45,SEARCH(" ",H45,SEARCH(" ",H45)+1)+1,1),""),LEFT(H45,3)))&amp;IF(I45="","","-"&amp;IF(ISNUMBER(SEARCH(" ",I45)),LEFT(I45,1)&amp;MID(I45,SEARCH(" ",I45)+1,1)&amp;IFERROR(MID(I45,SEARCH(" ",I45,SEARCH(" ",I45)+1)+1,1),""),LEFT(I45,3)))&amp;IF(D45="","","-"&amp;D45)&amp;"-"&amp;TEXT(COUNTIF($H$4:H45,H45),"000")</f>
        <v>FYV-VEE-302-033</v>
      </c>
      <c r="H45" s="48" t="s">
        <v>607</v>
      </c>
      <c r="I45" s="48" t="s">
        <v>660</v>
      </c>
      <c r="J45" s="49" t="s">
        <v>384</v>
      </c>
      <c r="K45" s="50" t="s">
        <v>301</v>
      </c>
      <c r="L45" s="51" t="s">
        <v>141</v>
      </c>
      <c r="M45" s="51" t="s">
        <v>174</v>
      </c>
      <c r="N45" s="51" t="s">
        <v>141</v>
      </c>
      <c r="O45" s="51" t="s">
        <v>524</v>
      </c>
      <c r="P45" s="39">
        <v>600</v>
      </c>
      <c r="Q45" s="40">
        <f t="shared" si="11"/>
        <v>240</v>
      </c>
      <c r="R45" s="23">
        <v>96</v>
      </c>
      <c r="S45" s="158">
        <f t="shared" si="12"/>
        <v>38.400000000000006</v>
      </c>
      <c r="T45" s="24">
        <v>123</v>
      </c>
      <c r="U45" s="25">
        <f t="shared" si="13"/>
        <v>49.2</v>
      </c>
      <c r="V45" s="53">
        <f t="shared" si="10"/>
        <v>819</v>
      </c>
      <c r="W45" s="53">
        <f t="shared" si="14"/>
        <v>327.60000000000002</v>
      </c>
      <c r="X45" s="112">
        <v>118</v>
      </c>
      <c r="Y45" s="160"/>
      <c r="Z45" s="54">
        <f t="shared" si="15"/>
        <v>70800</v>
      </c>
      <c r="AA45" s="54">
        <f t="shared" si="16"/>
        <v>28320</v>
      </c>
      <c r="AB45" s="54">
        <f t="shared" si="17"/>
        <v>11328</v>
      </c>
      <c r="AC45" s="54">
        <f t="shared" si="18"/>
        <v>4531.2000000000007</v>
      </c>
      <c r="AD45" s="54">
        <f t="shared" si="19"/>
        <v>14514</v>
      </c>
      <c r="AE45" s="54">
        <f t="shared" si="20"/>
        <v>5805.6</v>
      </c>
      <c r="AF45" s="54">
        <f t="shared" si="21"/>
        <v>96642</v>
      </c>
      <c r="AG45" s="54">
        <f t="shared" si="22"/>
        <v>38656.800000000003</v>
      </c>
    </row>
    <row r="46" spans="1:33" ht="10" customHeight="1">
      <c r="A46" s="47">
        <v>43</v>
      </c>
      <c r="B46" s="124" t="s">
        <v>178</v>
      </c>
      <c r="C46" s="28" t="s">
        <v>0</v>
      </c>
      <c r="D46" s="28" t="s">
        <v>28</v>
      </c>
      <c r="E46" s="28" t="s">
        <v>109</v>
      </c>
      <c r="F46" s="28" t="s">
        <v>3</v>
      </c>
      <c r="G46" s="199" t="str">
        <f>IF(H46="","",IF(ISNUMBER(SEARCH(" ",H46)),LEFT(H46,1)&amp;MID(H46,SEARCH(" ",H46)+1,1)&amp;IFERROR(MID(H46,SEARCH(" ",H46,SEARCH(" ",H46)+1)+1,1),""),LEFT(H46,3)))&amp;IF(I46="","","-"&amp;IF(ISNUMBER(SEARCH(" ",I46)),LEFT(I46,1)&amp;MID(I46,SEARCH(" ",I46)+1,1)&amp;IFERROR(MID(I46,SEARCH(" ",I46,SEARCH(" ",I46)+1)+1,1),""),LEFT(I46,3)))&amp;IF(D46="","","-"&amp;D46)&amp;"-"&amp;TEXT(COUNTIF($H$4:H46,H46),"000")</f>
        <v>FYV-VEE-302-034</v>
      </c>
      <c r="H46" s="48" t="s">
        <v>607</v>
      </c>
      <c r="I46" s="28" t="s">
        <v>660</v>
      </c>
      <c r="J46" s="224" t="s">
        <v>675</v>
      </c>
      <c r="K46" s="30" t="s">
        <v>283</v>
      </c>
      <c r="L46" s="31" t="s">
        <v>141</v>
      </c>
      <c r="M46" s="31" t="s">
        <v>174</v>
      </c>
      <c r="N46" s="31" t="s">
        <v>141</v>
      </c>
      <c r="O46" s="31" t="s">
        <v>524</v>
      </c>
      <c r="P46" s="39">
        <v>2400</v>
      </c>
      <c r="Q46" s="40">
        <f t="shared" si="11"/>
        <v>960</v>
      </c>
      <c r="R46" s="23">
        <v>4800</v>
      </c>
      <c r="S46" s="158">
        <f t="shared" si="12"/>
        <v>1920</v>
      </c>
      <c r="T46" s="24">
        <v>2520</v>
      </c>
      <c r="U46" s="25">
        <f t="shared" si="13"/>
        <v>1008</v>
      </c>
      <c r="V46" s="32">
        <f t="shared" si="10"/>
        <v>9720</v>
      </c>
      <c r="W46" s="32">
        <f t="shared" si="14"/>
        <v>3888</v>
      </c>
      <c r="X46" s="110">
        <v>19.3</v>
      </c>
      <c r="Y46" s="160"/>
      <c r="Z46" s="33">
        <f t="shared" si="15"/>
        <v>46320</v>
      </c>
      <c r="AA46" s="33">
        <f t="shared" si="16"/>
        <v>18528</v>
      </c>
      <c r="AB46" s="33">
        <f t="shared" si="17"/>
        <v>92640</v>
      </c>
      <c r="AC46" s="33">
        <f t="shared" si="18"/>
        <v>37056</v>
      </c>
      <c r="AD46" s="33">
        <f t="shared" si="19"/>
        <v>48636</v>
      </c>
      <c r="AE46" s="33">
        <f t="shared" si="20"/>
        <v>19454.400000000001</v>
      </c>
      <c r="AF46" s="33">
        <f t="shared" si="21"/>
        <v>187596</v>
      </c>
      <c r="AG46" s="33">
        <f t="shared" si="22"/>
        <v>75038.400000000009</v>
      </c>
    </row>
    <row r="47" spans="1:33" ht="10" customHeight="1">
      <c r="A47" s="47">
        <v>44</v>
      </c>
      <c r="B47" s="126" t="s">
        <v>178</v>
      </c>
      <c r="C47" s="48" t="s">
        <v>0</v>
      </c>
      <c r="D47" s="48" t="s">
        <v>28</v>
      </c>
      <c r="E47" s="48" t="s">
        <v>110</v>
      </c>
      <c r="F47" s="48" t="s">
        <v>3</v>
      </c>
      <c r="G47" s="199" t="str">
        <f>IF(H47="","",IF(ISNUMBER(SEARCH(" ",H47)),LEFT(H47,1)&amp;MID(H47,SEARCH(" ",H47)+1,1)&amp;IFERROR(MID(H47,SEARCH(" ",H47,SEARCH(" ",H47)+1)+1,1),""),LEFT(H47,3)))&amp;IF(I47="","","-"&amp;IF(ISNUMBER(SEARCH(" ",I47)),LEFT(I47,1)&amp;MID(I47,SEARCH(" ",I47)+1,1)&amp;IFERROR(MID(I47,SEARCH(" ",I47,SEARCH(" ",I47)+1)+1,1),""),LEFT(I47,3)))&amp;IF(D47="","","-"&amp;D47)&amp;"-"&amp;TEXT(COUNTIF($H$4:H47,H47),"000")</f>
        <v>FYV-VEE-302-035</v>
      </c>
      <c r="H47" s="48" t="s">
        <v>607</v>
      </c>
      <c r="I47" s="48" t="s">
        <v>660</v>
      </c>
      <c r="J47" s="49" t="s">
        <v>385</v>
      </c>
      <c r="K47" s="50" t="s">
        <v>211</v>
      </c>
      <c r="L47" s="51" t="s">
        <v>141</v>
      </c>
      <c r="M47" s="51" t="s">
        <v>174</v>
      </c>
      <c r="N47" s="51" t="s">
        <v>141</v>
      </c>
      <c r="O47" s="51" t="s">
        <v>524</v>
      </c>
      <c r="P47" s="39">
        <v>0</v>
      </c>
      <c r="Q47" s="40">
        <f t="shared" si="11"/>
        <v>0</v>
      </c>
      <c r="R47" s="23">
        <v>120</v>
      </c>
      <c r="S47" s="158">
        <f t="shared" si="12"/>
        <v>48</v>
      </c>
      <c r="T47" s="24">
        <v>132</v>
      </c>
      <c r="U47" s="25">
        <f t="shared" si="13"/>
        <v>52.800000000000004</v>
      </c>
      <c r="V47" s="53">
        <f t="shared" si="10"/>
        <v>252</v>
      </c>
      <c r="W47" s="53">
        <f t="shared" si="14"/>
        <v>100.80000000000001</v>
      </c>
      <c r="X47" s="112">
        <v>54</v>
      </c>
      <c r="Y47" s="160"/>
      <c r="Z47" s="54">
        <f t="shared" si="15"/>
        <v>0</v>
      </c>
      <c r="AA47" s="54">
        <f t="shared" si="16"/>
        <v>0</v>
      </c>
      <c r="AB47" s="54">
        <f t="shared" si="17"/>
        <v>6480</v>
      </c>
      <c r="AC47" s="54">
        <f t="shared" si="18"/>
        <v>2592</v>
      </c>
      <c r="AD47" s="54">
        <f t="shared" si="19"/>
        <v>7128</v>
      </c>
      <c r="AE47" s="54">
        <f t="shared" si="20"/>
        <v>2851.2000000000003</v>
      </c>
      <c r="AF47" s="54">
        <f t="shared" si="21"/>
        <v>13608</v>
      </c>
      <c r="AG47" s="54">
        <f t="shared" si="22"/>
        <v>5443.2000000000007</v>
      </c>
    </row>
    <row r="48" spans="1:33" ht="10" customHeight="1">
      <c r="A48" s="47">
        <v>45</v>
      </c>
      <c r="B48" s="124" t="s">
        <v>178</v>
      </c>
      <c r="C48" s="55" t="s">
        <v>0</v>
      </c>
      <c r="D48" s="55" t="s">
        <v>28</v>
      </c>
      <c r="E48" s="55" t="s">
        <v>111</v>
      </c>
      <c r="F48" s="55" t="s">
        <v>3</v>
      </c>
      <c r="G48" s="199" t="str">
        <f>IF(H48="","",IF(ISNUMBER(SEARCH(" ",H48)),LEFT(H48,1)&amp;MID(H48,SEARCH(" ",H48)+1,1)&amp;IFERROR(MID(H48,SEARCH(" ",H48,SEARCH(" ",H48)+1)+1,1),""),LEFT(H48,3)))&amp;IF(I48="","","-"&amp;IF(ISNUMBER(SEARCH(" ",I48)),LEFT(I48,1)&amp;MID(I48,SEARCH(" ",I48)+1,1)&amp;IFERROR(MID(I48,SEARCH(" ",I48,SEARCH(" ",I48)+1)+1,1),""),LEFT(I48,3)))&amp;IF(D48="","","-"&amp;D48)&amp;"-"&amp;TEXT(COUNTIF($H$4:H48,H48),"000")</f>
        <v>FYV-VEE-302-036</v>
      </c>
      <c r="H48" s="48" t="s">
        <v>607</v>
      </c>
      <c r="I48" s="28" t="s">
        <v>660</v>
      </c>
      <c r="J48" s="56" t="s">
        <v>386</v>
      </c>
      <c r="K48" s="57" t="s">
        <v>284</v>
      </c>
      <c r="L48" s="31" t="s">
        <v>141</v>
      </c>
      <c r="M48" s="31" t="s">
        <v>174</v>
      </c>
      <c r="N48" s="31" t="s">
        <v>141</v>
      </c>
      <c r="O48" s="31" t="s">
        <v>524</v>
      </c>
      <c r="P48" s="39">
        <v>1800</v>
      </c>
      <c r="Q48" s="40">
        <f t="shared" si="11"/>
        <v>720</v>
      </c>
      <c r="R48" s="23">
        <v>120</v>
      </c>
      <c r="S48" s="158">
        <f t="shared" si="12"/>
        <v>48</v>
      </c>
      <c r="T48" s="24">
        <v>144</v>
      </c>
      <c r="U48" s="25">
        <f t="shared" si="13"/>
        <v>57.6</v>
      </c>
      <c r="V48" s="32">
        <f t="shared" si="10"/>
        <v>2064</v>
      </c>
      <c r="W48" s="32">
        <f t="shared" si="14"/>
        <v>825.6</v>
      </c>
      <c r="X48" s="110">
        <v>23</v>
      </c>
      <c r="Y48" s="160"/>
      <c r="Z48" s="33">
        <f t="shared" si="15"/>
        <v>41400</v>
      </c>
      <c r="AA48" s="33">
        <f t="shared" si="16"/>
        <v>16560</v>
      </c>
      <c r="AB48" s="33">
        <f t="shared" si="17"/>
        <v>2760</v>
      </c>
      <c r="AC48" s="33">
        <f t="shared" si="18"/>
        <v>1104</v>
      </c>
      <c r="AD48" s="33">
        <f t="shared" si="19"/>
        <v>3312</v>
      </c>
      <c r="AE48" s="33">
        <f t="shared" si="20"/>
        <v>1324.8</v>
      </c>
      <c r="AF48" s="33">
        <f t="shared" si="21"/>
        <v>47472</v>
      </c>
      <c r="AG48" s="33">
        <f t="shared" si="22"/>
        <v>18988.8</v>
      </c>
    </row>
    <row r="49" spans="1:33" ht="10" customHeight="1">
      <c r="A49" s="47">
        <v>46</v>
      </c>
      <c r="B49" s="126" t="s">
        <v>178</v>
      </c>
      <c r="C49" s="58" t="s">
        <v>0</v>
      </c>
      <c r="D49" s="58" t="s">
        <v>28</v>
      </c>
      <c r="E49" s="58" t="s">
        <v>112</v>
      </c>
      <c r="F49" s="58" t="s">
        <v>3</v>
      </c>
      <c r="G49" s="199" t="str">
        <f>IF(H49="","",IF(ISNUMBER(SEARCH(" ",H49)),LEFT(H49,1)&amp;MID(H49,SEARCH(" ",H49)+1,1)&amp;IFERROR(MID(H49,SEARCH(" ",H49,SEARCH(" ",H49)+1)+1,1),""),LEFT(H49,3)))&amp;IF(I49="","","-"&amp;IF(ISNUMBER(SEARCH(" ",I49)),LEFT(I49,1)&amp;MID(I49,SEARCH(" ",I49)+1,1)&amp;IFERROR(MID(I49,SEARCH(" ",I49,SEARCH(" ",I49)+1)+1,1),""),LEFT(I49,3)))&amp;IF(D49="","","-"&amp;D49)&amp;"-"&amp;TEXT(COUNTIF($H$4:H49,H49),"000")</f>
        <v>FYV-VEE-302-037</v>
      </c>
      <c r="H49" s="48" t="s">
        <v>607</v>
      </c>
      <c r="I49" s="48" t="s">
        <v>660</v>
      </c>
      <c r="J49" s="59" t="s">
        <v>387</v>
      </c>
      <c r="K49" s="50" t="s">
        <v>285</v>
      </c>
      <c r="L49" s="51" t="s">
        <v>141</v>
      </c>
      <c r="M49" s="51" t="s">
        <v>174</v>
      </c>
      <c r="N49" s="51" t="s">
        <v>141</v>
      </c>
      <c r="O49" s="51" t="s">
        <v>524</v>
      </c>
      <c r="P49" s="39">
        <v>0</v>
      </c>
      <c r="Q49" s="40">
        <f t="shared" si="11"/>
        <v>0</v>
      </c>
      <c r="R49" s="23">
        <v>0</v>
      </c>
      <c r="S49" s="158">
        <f t="shared" si="12"/>
        <v>0</v>
      </c>
      <c r="T49" s="24">
        <v>72</v>
      </c>
      <c r="U49" s="25">
        <f t="shared" si="13"/>
        <v>28.8</v>
      </c>
      <c r="V49" s="53">
        <f t="shared" si="10"/>
        <v>72</v>
      </c>
      <c r="W49" s="53">
        <f t="shared" si="14"/>
        <v>28.8</v>
      </c>
      <c r="X49" s="112">
        <v>38.1</v>
      </c>
      <c r="Y49" s="160"/>
      <c r="Z49" s="54">
        <f t="shared" si="15"/>
        <v>0</v>
      </c>
      <c r="AA49" s="54">
        <f t="shared" si="16"/>
        <v>0</v>
      </c>
      <c r="AB49" s="54">
        <f t="shared" si="17"/>
        <v>0</v>
      </c>
      <c r="AC49" s="54">
        <f t="shared" si="18"/>
        <v>0</v>
      </c>
      <c r="AD49" s="54">
        <f t="shared" si="19"/>
        <v>2743.2000000000003</v>
      </c>
      <c r="AE49" s="54">
        <f t="shared" si="20"/>
        <v>1097.28</v>
      </c>
      <c r="AF49" s="54">
        <f t="shared" si="21"/>
        <v>2743.2000000000003</v>
      </c>
      <c r="AG49" s="54">
        <f t="shared" si="22"/>
        <v>1097.28</v>
      </c>
    </row>
    <row r="50" spans="1:33" ht="10" customHeight="1">
      <c r="A50" s="47">
        <v>47</v>
      </c>
      <c r="B50" s="124" t="s">
        <v>178</v>
      </c>
      <c r="C50" s="28" t="s">
        <v>0</v>
      </c>
      <c r="D50" s="28" t="s">
        <v>28</v>
      </c>
      <c r="E50" s="28" t="s">
        <v>113</v>
      </c>
      <c r="F50" s="28" t="s">
        <v>3</v>
      </c>
      <c r="G50" s="199" t="str">
        <f>IF(H50="","",IF(ISNUMBER(SEARCH(" ",H50)),LEFT(H50,1)&amp;MID(H50,SEARCH(" ",H50)+1,1)&amp;IFERROR(MID(H50,SEARCH(" ",H50,SEARCH(" ",H50)+1)+1,1),""),LEFT(H50,3)))&amp;IF(I50="","","-"&amp;IF(ISNUMBER(SEARCH(" ",I50)),LEFT(I50,1)&amp;MID(I50,SEARCH(" ",I50)+1,1)&amp;IFERROR(MID(I50,SEARCH(" ",I50,SEARCH(" ",I50)+1)+1,1),""),LEFT(I50,3)))&amp;IF(D50="","","-"&amp;D50)&amp;"-"&amp;TEXT(COUNTIF($H$4:H50,H50),"000")</f>
        <v>FYV-VEE-302-038</v>
      </c>
      <c r="H50" s="48" t="s">
        <v>607</v>
      </c>
      <c r="I50" s="28" t="s">
        <v>660</v>
      </c>
      <c r="J50" s="29" t="s">
        <v>388</v>
      </c>
      <c r="K50" s="30" t="s">
        <v>286</v>
      </c>
      <c r="L50" s="31" t="s">
        <v>141</v>
      </c>
      <c r="M50" s="31" t="s">
        <v>174</v>
      </c>
      <c r="N50" s="31" t="s">
        <v>141</v>
      </c>
      <c r="O50" s="31" t="s">
        <v>524</v>
      </c>
      <c r="P50" s="39">
        <v>0</v>
      </c>
      <c r="Q50" s="40">
        <f t="shared" si="11"/>
        <v>0</v>
      </c>
      <c r="R50" s="23">
        <v>0</v>
      </c>
      <c r="S50" s="158">
        <f t="shared" si="12"/>
        <v>0</v>
      </c>
      <c r="T50" s="24">
        <v>24</v>
      </c>
      <c r="U50" s="25">
        <f t="shared" si="13"/>
        <v>9.6000000000000014</v>
      </c>
      <c r="V50" s="32">
        <f t="shared" si="10"/>
        <v>24</v>
      </c>
      <c r="W50" s="32">
        <f t="shared" si="14"/>
        <v>9.6000000000000014</v>
      </c>
      <c r="X50" s="110">
        <v>48</v>
      </c>
      <c r="Y50" s="160"/>
      <c r="Z50" s="33">
        <f t="shared" si="15"/>
        <v>0</v>
      </c>
      <c r="AA50" s="33">
        <f t="shared" si="16"/>
        <v>0</v>
      </c>
      <c r="AB50" s="33">
        <f t="shared" si="17"/>
        <v>0</v>
      </c>
      <c r="AC50" s="33">
        <f t="shared" si="18"/>
        <v>0</v>
      </c>
      <c r="AD50" s="33">
        <f t="shared" si="19"/>
        <v>1152</v>
      </c>
      <c r="AE50" s="33">
        <f t="shared" si="20"/>
        <v>460.80000000000007</v>
      </c>
      <c r="AF50" s="33">
        <f t="shared" si="21"/>
        <v>1152</v>
      </c>
      <c r="AG50" s="33">
        <f t="shared" si="22"/>
        <v>460.80000000000007</v>
      </c>
    </row>
    <row r="51" spans="1:33" ht="10" customHeight="1">
      <c r="A51" s="47">
        <v>48</v>
      </c>
      <c r="B51" s="126" t="s">
        <v>178</v>
      </c>
      <c r="C51" s="48" t="s">
        <v>0</v>
      </c>
      <c r="D51" s="48" t="s">
        <v>28</v>
      </c>
      <c r="E51" s="48" t="s">
        <v>114</v>
      </c>
      <c r="F51" s="48" t="s">
        <v>3</v>
      </c>
      <c r="G51" s="199" t="str">
        <f>IF(H51="","",IF(ISNUMBER(SEARCH(" ",H51)),LEFT(H51,1)&amp;MID(H51,SEARCH(" ",H51)+1,1)&amp;IFERROR(MID(H51,SEARCH(" ",H51,SEARCH(" ",H51)+1)+1,1),""),LEFT(H51,3)))&amp;IF(I51="","","-"&amp;IF(ISNUMBER(SEARCH(" ",I51)),LEFT(I51,1)&amp;MID(I51,SEARCH(" ",I51)+1,1)&amp;IFERROR(MID(I51,SEARCH(" ",I51,SEARCH(" ",I51)+1)+1,1),""),LEFT(I51,3)))&amp;IF(D51="","","-"&amp;D51)&amp;"-"&amp;TEXT(COUNTIF($H$4:H51,H51),"000")</f>
        <v>FYV-VEE-302-039</v>
      </c>
      <c r="H51" s="48" t="s">
        <v>607</v>
      </c>
      <c r="I51" s="48" t="s">
        <v>660</v>
      </c>
      <c r="J51" s="49" t="s">
        <v>389</v>
      </c>
      <c r="K51" s="50" t="s">
        <v>294</v>
      </c>
      <c r="L51" s="51" t="s">
        <v>141</v>
      </c>
      <c r="M51" s="51" t="s">
        <v>174</v>
      </c>
      <c r="N51" s="51" t="s">
        <v>141</v>
      </c>
      <c r="O51" s="51" t="s">
        <v>524</v>
      </c>
      <c r="P51" s="39">
        <v>240</v>
      </c>
      <c r="Q51" s="40">
        <f t="shared" si="11"/>
        <v>96</v>
      </c>
      <c r="R51" s="23">
        <v>60</v>
      </c>
      <c r="S51" s="158">
        <f t="shared" si="12"/>
        <v>24</v>
      </c>
      <c r="T51" s="24">
        <v>24</v>
      </c>
      <c r="U51" s="25">
        <f t="shared" si="13"/>
        <v>9.6000000000000014</v>
      </c>
      <c r="V51" s="53">
        <f t="shared" si="10"/>
        <v>324</v>
      </c>
      <c r="W51" s="53">
        <f t="shared" si="14"/>
        <v>129.6</v>
      </c>
      <c r="X51" s="112">
        <v>27.4</v>
      </c>
      <c r="Y51" s="160"/>
      <c r="Z51" s="54">
        <f t="shared" si="15"/>
        <v>6576</v>
      </c>
      <c r="AA51" s="54">
        <f t="shared" si="16"/>
        <v>2630.3999999999996</v>
      </c>
      <c r="AB51" s="54">
        <f t="shared" si="17"/>
        <v>1644</v>
      </c>
      <c r="AC51" s="54">
        <f t="shared" si="18"/>
        <v>657.59999999999991</v>
      </c>
      <c r="AD51" s="54">
        <f t="shared" si="19"/>
        <v>657.59999999999991</v>
      </c>
      <c r="AE51" s="54">
        <f t="shared" si="20"/>
        <v>263.04000000000002</v>
      </c>
      <c r="AF51" s="54">
        <f t="shared" si="21"/>
        <v>8877.6</v>
      </c>
      <c r="AG51" s="54">
        <f t="shared" si="22"/>
        <v>3551.0399999999995</v>
      </c>
    </row>
    <row r="52" spans="1:33" ht="10" customHeight="1">
      <c r="A52" s="47">
        <v>49</v>
      </c>
      <c r="B52" s="124" t="s">
        <v>178</v>
      </c>
      <c r="C52" s="28" t="s">
        <v>0</v>
      </c>
      <c r="D52" s="28" t="s">
        <v>28</v>
      </c>
      <c r="E52" s="28" t="s">
        <v>115</v>
      </c>
      <c r="F52" s="28" t="s">
        <v>3</v>
      </c>
      <c r="G52" s="199" t="str">
        <f>IF(H52="","",IF(ISNUMBER(SEARCH(" ",H52)),LEFT(H52,1)&amp;MID(H52,SEARCH(" ",H52)+1,1)&amp;IFERROR(MID(H52,SEARCH(" ",H52,SEARCH(" ",H52)+1)+1,1),""),LEFT(H52,3)))&amp;IF(I52="","","-"&amp;IF(ISNUMBER(SEARCH(" ",I52)),LEFT(I52,1)&amp;MID(I52,SEARCH(" ",I52)+1,1)&amp;IFERROR(MID(I52,SEARCH(" ",I52,SEARCH(" ",I52)+1)+1,1),""),LEFT(I52,3)))&amp;IF(D52="","","-"&amp;D52)&amp;"-"&amp;TEXT(COUNTIF($H$4:H52,H52),"000")</f>
        <v>FYV-VEE-302-040</v>
      </c>
      <c r="H52" s="48" t="s">
        <v>607</v>
      </c>
      <c r="I52" s="28" t="s">
        <v>660</v>
      </c>
      <c r="J52" s="29" t="s">
        <v>390</v>
      </c>
      <c r="K52" s="30" t="s">
        <v>295</v>
      </c>
      <c r="L52" s="31" t="s">
        <v>141</v>
      </c>
      <c r="M52" s="31" t="s">
        <v>174</v>
      </c>
      <c r="N52" s="31" t="s">
        <v>141</v>
      </c>
      <c r="O52" s="31" t="s">
        <v>524</v>
      </c>
      <c r="P52" s="39">
        <v>8340</v>
      </c>
      <c r="Q52" s="40">
        <f t="shared" si="11"/>
        <v>3336</v>
      </c>
      <c r="R52" s="23">
        <v>240</v>
      </c>
      <c r="S52" s="158">
        <f t="shared" si="12"/>
        <v>96</v>
      </c>
      <c r="T52" s="24">
        <v>252</v>
      </c>
      <c r="U52" s="25">
        <f t="shared" si="13"/>
        <v>100.80000000000001</v>
      </c>
      <c r="V52" s="32">
        <f t="shared" si="10"/>
        <v>8832</v>
      </c>
      <c r="W52" s="32">
        <f t="shared" si="14"/>
        <v>3532.8</v>
      </c>
      <c r="X52" s="110">
        <v>38.200000000000003</v>
      </c>
      <c r="Y52" s="160"/>
      <c r="Z52" s="33">
        <f t="shared" si="15"/>
        <v>318588</v>
      </c>
      <c r="AA52" s="33">
        <f t="shared" si="16"/>
        <v>127435.20000000001</v>
      </c>
      <c r="AB52" s="33">
        <f t="shared" si="17"/>
        <v>9168</v>
      </c>
      <c r="AC52" s="33">
        <f t="shared" si="18"/>
        <v>3667.2000000000003</v>
      </c>
      <c r="AD52" s="33">
        <f t="shared" si="19"/>
        <v>9626.4000000000015</v>
      </c>
      <c r="AE52" s="33">
        <f t="shared" si="20"/>
        <v>3850.5600000000009</v>
      </c>
      <c r="AF52" s="33">
        <f t="shared" si="21"/>
        <v>337382.40000000002</v>
      </c>
      <c r="AG52" s="33">
        <f t="shared" si="22"/>
        <v>134952.96000000002</v>
      </c>
    </row>
    <row r="53" spans="1:33" ht="10" customHeight="1">
      <c r="A53" s="47">
        <v>50</v>
      </c>
      <c r="B53" s="126" t="s">
        <v>178</v>
      </c>
      <c r="C53" s="48" t="s">
        <v>0</v>
      </c>
      <c r="D53" s="48" t="s">
        <v>28</v>
      </c>
      <c r="E53" s="48" t="s">
        <v>116</v>
      </c>
      <c r="F53" s="48" t="s">
        <v>3</v>
      </c>
      <c r="G53" s="199" t="str">
        <f>IF(H53="","",IF(ISNUMBER(SEARCH(" ",H53)),LEFT(H53,1)&amp;MID(H53,SEARCH(" ",H53)+1,1)&amp;IFERROR(MID(H53,SEARCH(" ",H53,SEARCH(" ",H53)+1)+1,1),""),LEFT(H53,3)))&amp;IF(I53="","","-"&amp;IF(ISNUMBER(SEARCH(" ",I53)),LEFT(I53,1)&amp;MID(I53,SEARCH(" ",I53)+1,1)&amp;IFERROR(MID(I53,SEARCH(" ",I53,SEARCH(" ",I53)+1)+1,1),""),LEFT(I53,3)))&amp;IF(D53="","","-"&amp;D53)&amp;"-"&amp;TEXT(COUNTIF($H$4:H53,H53),"000")</f>
        <v>FYV-VEE-302-041</v>
      </c>
      <c r="H53" s="48" t="s">
        <v>607</v>
      </c>
      <c r="I53" s="48" t="s">
        <v>660</v>
      </c>
      <c r="J53" s="49" t="s">
        <v>391</v>
      </c>
      <c r="K53" s="50" t="s">
        <v>296</v>
      </c>
      <c r="L53" s="51" t="s">
        <v>141</v>
      </c>
      <c r="M53" s="51" t="s">
        <v>174</v>
      </c>
      <c r="N53" s="51" t="s">
        <v>141</v>
      </c>
      <c r="O53" s="51" t="s">
        <v>524</v>
      </c>
      <c r="P53" s="39">
        <v>360</v>
      </c>
      <c r="Q53" s="40">
        <f t="shared" si="11"/>
        <v>144</v>
      </c>
      <c r="R53" s="23">
        <v>180</v>
      </c>
      <c r="S53" s="158">
        <f t="shared" si="12"/>
        <v>72</v>
      </c>
      <c r="T53" s="24">
        <v>252</v>
      </c>
      <c r="U53" s="25">
        <f t="shared" si="13"/>
        <v>100.80000000000001</v>
      </c>
      <c r="V53" s="53">
        <f t="shared" si="10"/>
        <v>792</v>
      </c>
      <c r="W53" s="53">
        <f t="shared" si="14"/>
        <v>316.8</v>
      </c>
      <c r="X53" s="112">
        <v>34.200000000000003</v>
      </c>
      <c r="Y53" s="160"/>
      <c r="Z53" s="54">
        <f t="shared" si="15"/>
        <v>12312.000000000002</v>
      </c>
      <c r="AA53" s="54">
        <f t="shared" si="16"/>
        <v>4924.8</v>
      </c>
      <c r="AB53" s="54">
        <f t="shared" si="17"/>
        <v>6156.0000000000009</v>
      </c>
      <c r="AC53" s="54">
        <f t="shared" si="18"/>
        <v>2462.4</v>
      </c>
      <c r="AD53" s="54">
        <f t="shared" si="19"/>
        <v>8618.4000000000015</v>
      </c>
      <c r="AE53" s="54">
        <f t="shared" si="20"/>
        <v>3447.3600000000006</v>
      </c>
      <c r="AF53" s="54">
        <f t="shared" si="21"/>
        <v>27086.400000000001</v>
      </c>
      <c r="AG53" s="54">
        <f t="shared" si="22"/>
        <v>10834.560000000001</v>
      </c>
    </row>
    <row r="54" spans="1:33" ht="10" customHeight="1">
      <c r="A54" s="47">
        <v>51</v>
      </c>
      <c r="B54" s="124" t="s">
        <v>178</v>
      </c>
      <c r="C54" s="28" t="s">
        <v>0</v>
      </c>
      <c r="D54" s="120" t="s">
        <v>117</v>
      </c>
      <c r="E54" s="28" t="s">
        <v>7</v>
      </c>
      <c r="F54" s="28" t="s">
        <v>3</v>
      </c>
      <c r="G54" s="199" t="str">
        <f>IF(H54="","",IF(ISNUMBER(SEARCH(" ",H54)),LEFT(H54,1)&amp;MID(H54,SEARCH(" ",H54)+1,1)&amp;IFERROR(MID(H54,SEARCH(" ",H54,SEARCH(" ",H54)+1)+1,1),""),LEFT(H54,3)))&amp;IF(I54="","","-"&amp;IF(ISNUMBER(SEARCH(" ",I54)),LEFT(I54,1)&amp;MID(I54,SEARCH(" ",I54)+1,1)&amp;IFERROR(MID(I54,SEARCH(" ",I54,SEARCH(" ",I54)+1)+1,1),""),LEFT(I54,3)))&amp;IF(D54="","","-"&amp;D54)&amp;"-"&amp;TEXT(COUNTIF($H$4:H54,H54),"000")</f>
        <v>FYV-VEE-805-042</v>
      </c>
      <c r="H54" s="48" t="s">
        <v>607</v>
      </c>
      <c r="I54" s="120" t="s">
        <v>660</v>
      </c>
      <c r="J54" s="29" t="s">
        <v>392</v>
      </c>
      <c r="K54" s="30" t="s">
        <v>302</v>
      </c>
      <c r="L54" s="31" t="s">
        <v>141</v>
      </c>
      <c r="M54" s="31" t="s">
        <v>174</v>
      </c>
      <c r="N54" s="31" t="s">
        <v>141</v>
      </c>
      <c r="O54" s="31" t="s">
        <v>524</v>
      </c>
      <c r="P54" s="39">
        <v>480</v>
      </c>
      <c r="Q54" s="40">
        <f t="shared" si="11"/>
        <v>192</v>
      </c>
      <c r="R54" s="23">
        <v>60</v>
      </c>
      <c r="S54" s="158">
        <f t="shared" si="12"/>
        <v>24</v>
      </c>
      <c r="T54" s="24">
        <v>72</v>
      </c>
      <c r="U54" s="25">
        <f t="shared" si="13"/>
        <v>28.8</v>
      </c>
      <c r="V54" s="32">
        <f t="shared" si="10"/>
        <v>612</v>
      </c>
      <c r="W54" s="32">
        <f t="shared" si="14"/>
        <v>244.8</v>
      </c>
      <c r="X54" s="110">
        <v>14</v>
      </c>
      <c r="Y54" s="160"/>
      <c r="Z54" s="33">
        <f t="shared" si="15"/>
        <v>6720</v>
      </c>
      <c r="AA54" s="33">
        <f t="shared" si="16"/>
        <v>2688</v>
      </c>
      <c r="AB54" s="33">
        <f t="shared" si="17"/>
        <v>840</v>
      </c>
      <c r="AC54" s="33">
        <f t="shared" si="18"/>
        <v>336</v>
      </c>
      <c r="AD54" s="33">
        <f t="shared" si="19"/>
        <v>1008</v>
      </c>
      <c r="AE54" s="33">
        <f t="shared" si="20"/>
        <v>403.2</v>
      </c>
      <c r="AF54" s="33">
        <f t="shared" si="21"/>
        <v>8568</v>
      </c>
      <c r="AG54" s="33">
        <f t="shared" si="22"/>
        <v>3427.2000000000003</v>
      </c>
    </row>
    <row r="55" spans="1:33" ht="10" customHeight="1">
      <c r="A55" s="47">
        <v>52</v>
      </c>
      <c r="B55" s="126" t="s">
        <v>178</v>
      </c>
      <c r="C55" s="48" t="s">
        <v>0</v>
      </c>
      <c r="D55" s="48" t="s">
        <v>28</v>
      </c>
      <c r="E55" s="48" t="s">
        <v>88</v>
      </c>
      <c r="F55" s="48" t="s">
        <v>3</v>
      </c>
      <c r="G55" s="199" t="str">
        <f>IF(H55="","",IF(ISNUMBER(SEARCH(" ",H55)),LEFT(H55,1)&amp;MID(H55,SEARCH(" ",H55)+1,1)&amp;IFERROR(MID(H55,SEARCH(" ",H55,SEARCH(" ",H55)+1)+1,1),""),LEFT(H55,3)))&amp;IF(I55="","","-"&amp;IF(ISNUMBER(SEARCH(" ",I55)),LEFT(I55,1)&amp;MID(I55,SEARCH(" ",I55)+1,1)&amp;IFERROR(MID(I55,SEARCH(" ",I55,SEARCH(" ",I55)+1)+1,1),""),LEFT(I55,3)))&amp;IF(D55="","","-"&amp;D55)&amp;"-"&amp;TEXT(COUNTIF($H$4:H55,H55),"000")</f>
        <v>FYV-VEE-302-043</v>
      </c>
      <c r="H55" s="48" t="s">
        <v>607</v>
      </c>
      <c r="I55" s="48" t="s">
        <v>660</v>
      </c>
      <c r="J55" s="49" t="s">
        <v>393</v>
      </c>
      <c r="K55" s="50" t="s">
        <v>297</v>
      </c>
      <c r="L55" s="51" t="s">
        <v>141</v>
      </c>
      <c r="M55" s="51" t="s">
        <v>174</v>
      </c>
      <c r="N55" s="51" t="s">
        <v>141</v>
      </c>
      <c r="O55" s="51" t="s">
        <v>524</v>
      </c>
      <c r="P55" s="39">
        <v>0</v>
      </c>
      <c r="Q55" s="40">
        <f t="shared" si="11"/>
        <v>0</v>
      </c>
      <c r="R55" s="23">
        <v>60</v>
      </c>
      <c r="S55" s="158">
        <f t="shared" si="12"/>
        <v>24</v>
      </c>
      <c r="T55" s="24">
        <v>132</v>
      </c>
      <c r="U55" s="25">
        <f t="shared" si="13"/>
        <v>52.800000000000004</v>
      </c>
      <c r="V55" s="53">
        <f t="shared" si="10"/>
        <v>192</v>
      </c>
      <c r="W55" s="53">
        <f t="shared" si="14"/>
        <v>76.800000000000011</v>
      </c>
      <c r="X55" s="112">
        <v>17</v>
      </c>
      <c r="Y55" s="160"/>
      <c r="Z55" s="54">
        <f t="shared" si="15"/>
        <v>0</v>
      </c>
      <c r="AA55" s="54">
        <f t="shared" si="16"/>
        <v>0</v>
      </c>
      <c r="AB55" s="54">
        <f t="shared" si="17"/>
        <v>1020</v>
      </c>
      <c r="AC55" s="54">
        <f t="shared" si="18"/>
        <v>408</v>
      </c>
      <c r="AD55" s="54">
        <f t="shared" si="19"/>
        <v>2244</v>
      </c>
      <c r="AE55" s="54">
        <f t="shared" si="20"/>
        <v>897.6</v>
      </c>
      <c r="AF55" s="54">
        <f t="shared" si="21"/>
        <v>3264</v>
      </c>
      <c r="AG55" s="54">
        <f t="shared" si="22"/>
        <v>1305.6000000000001</v>
      </c>
    </row>
    <row r="56" spans="1:33" ht="10" customHeight="1">
      <c r="A56" s="47">
        <v>53</v>
      </c>
      <c r="B56" s="124" t="s">
        <v>178</v>
      </c>
      <c r="C56" s="28" t="s">
        <v>0</v>
      </c>
      <c r="D56" s="28" t="s">
        <v>28</v>
      </c>
      <c r="E56" s="28" t="s">
        <v>118</v>
      </c>
      <c r="F56" s="28" t="s">
        <v>3</v>
      </c>
      <c r="G56" s="199" t="str">
        <f>IF(H56="","",IF(ISNUMBER(SEARCH(" ",H56)),LEFT(H56,1)&amp;MID(H56,SEARCH(" ",H56)+1,1)&amp;IFERROR(MID(H56,SEARCH(" ",H56,SEARCH(" ",H56)+1)+1,1),""),LEFT(H56,3)))&amp;IF(I56="","","-"&amp;IF(ISNUMBER(SEARCH(" ",I56)),LEFT(I56,1)&amp;MID(I56,SEARCH(" ",I56)+1,1)&amp;IFERROR(MID(I56,SEARCH(" ",I56,SEARCH(" ",I56)+1)+1,1),""),LEFT(I56,3)))&amp;IF(D56="","","-"&amp;D56)&amp;"-"&amp;TEXT(COUNTIF($H$4:H56,H56),"000")</f>
        <v>FYV-VEE-302-044</v>
      </c>
      <c r="H56" s="48" t="s">
        <v>607</v>
      </c>
      <c r="I56" s="28" t="s">
        <v>660</v>
      </c>
      <c r="J56" s="29" t="s">
        <v>394</v>
      </c>
      <c r="K56" s="30" t="s">
        <v>298</v>
      </c>
      <c r="L56" s="31" t="s">
        <v>141</v>
      </c>
      <c r="M56" s="31" t="s">
        <v>174</v>
      </c>
      <c r="N56" s="31" t="s">
        <v>141</v>
      </c>
      <c r="O56" s="31" t="s">
        <v>524</v>
      </c>
      <c r="P56" s="39">
        <v>4800</v>
      </c>
      <c r="Q56" s="40">
        <f t="shared" si="11"/>
        <v>1920</v>
      </c>
      <c r="R56" s="23">
        <v>1800</v>
      </c>
      <c r="S56" s="158">
        <f t="shared" si="12"/>
        <v>720</v>
      </c>
      <c r="T56" s="24">
        <v>1008</v>
      </c>
      <c r="U56" s="25">
        <f t="shared" si="13"/>
        <v>403.20000000000005</v>
      </c>
      <c r="V56" s="32">
        <f t="shared" si="10"/>
        <v>7608</v>
      </c>
      <c r="W56" s="32">
        <f t="shared" si="14"/>
        <v>3043.2000000000003</v>
      </c>
      <c r="X56" s="110">
        <v>32.5</v>
      </c>
      <c r="Y56" s="160"/>
      <c r="Z56" s="33">
        <f t="shared" si="15"/>
        <v>156000</v>
      </c>
      <c r="AA56" s="33">
        <f t="shared" si="16"/>
        <v>62400</v>
      </c>
      <c r="AB56" s="33">
        <f t="shared" si="17"/>
        <v>58500</v>
      </c>
      <c r="AC56" s="33">
        <f t="shared" si="18"/>
        <v>23400</v>
      </c>
      <c r="AD56" s="33">
        <f t="shared" si="19"/>
        <v>32760</v>
      </c>
      <c r="AE56" s="33">
        <f t="shared" si="20"/>
        <v>13104.000000000002</v>
      </c>
      <c r="AF56" s="33">
        <f t="shared" si="21"/>
        <v>247260</v>
      </c>
      <c r="AG56" s="33">
        <f t="shared" si="22"/>
        <v>98904.000000000015</v>
      </c>
    </row>
    <row r="57" spans="1:33" ht="10" customHeight="1">
      <c r="A57" s="47">
        <v>54</v>
      </c>
      <c r="B57" s="126" t="s">
        <v>178</v>
      </c>
      <c r="C57" s="48" t="s">
        <v>0</v>
      </c>
      <c r="D57" s="48" t="s">
        <v>28</v>
      </c>
      <c r="E57" s="48" t="s">
        <v>119</v>
      </c>
      <c r="F57" s="48" t="s">
        <v>3</v>
      </c>
      <c r="G57" s="199" t="str">
        <f>IF(H57="","",IF(ISNUMBER(SEARCH(" ",H57)),LEFT(H57,1)&amp;MID(H57,SEARCH(" ",H57)+1,1)&amp;IFERROR(MID(H57,SEARCH(" ",H57,SEARCH(" ",H57)+1)+1,1),""),LEFT(H57,3)))&amp;IF(I57="","","-"&amp;IF(ISNUMBER(SEARCH(" ",I57)),LEFT(I57,1)&amp;MID(I57,SEARCH(" ",I57)+1,1)&amp;IFERROR(MID(I57,SEARCH(" ",I57,SEARCH(" ",I57)+1)+1,1),""),LEFT(I57,3)))&amp;IF(D57="","","-"&amp;D57)&amp;"-"&amp;TEXT(COUNTIF($H$4:H57,H57),"000")</f>
        <v>FYV-VEE-302-045</v>
      </c>
      <c r="H57" s="48" t="s">
        <v>607</v>
      </c>
      <c r="I57" s="48" t="s">
        <v>660</v>
      </c>
      <c r="J57" s="49" t="s">
        <v>395</v>
      </c>
      <c r="K57" s="50" t="s">
        <v>326</v>
      </c>
      <c r="L57" s="51" t="s">
        <v>141</v>
      </c>
      <c r="M57" s="51" t="s">
        <v>174</v>
      </c>
      <c r="N57" s="51" t="s">
        <v>141</v>
      </c>
      <c r="O57" s="51" t="s">
        <v>524</v>
      </c>
      <c r="P57" s="39">
        <v>960</v>
      </c>
      <c r="Q57" s="40">
        <f t="shared" si="11"/>
        <v>384</v>
      </c>
      <c r="R57" s="23">
        <v>240</v>
      </c>
      <c r="S57" s="158">
        <f t="shared" si="12"/>
        <v>96</v>
      </c>
      <c r="T57" s="24">
        <v>264</v>
      </c>
      <c r="U57" s="25">
        <f t="shared" si="13"/>
        <v>105.60000000000001</v>
      </c>
      <c r="V57" s="53">
        <f t="shared" si="10"/>
        <v>1464</v>
      </c>
      <c r="W57" s="53">
        <f t="shared" si="14"/>
        <v>585.6</v>
      </c>
      <c r="X57" s="112">
        <v>23.4</v>
      </c>
      <c r="Y57" s="160"/>
      <c r="Z57" s="54">
        <f t="shared" si="15"/>
        <v>22464</v>
      </c>
      <c r="AA57" s="54">
        <f t="shared" si="16"/>
        <v>8985.5999999999985</v>
      </c>
      <c r="AB57" s="54">
        <f t="shared" si="17"/>
        <v>5616</v>
      </c>
      <c r="AC57" s="54">
        <f t="shared" si="18"/>
        <v>2246.3999999999996</v>
      </c>
      <c r="AD57" s="54">
        <f t="shared" si="19"/>
        <v>6177.5999999999995</v>
      </c>
      <c r="AE57" s="54">
        <f t="shared" si="20"/>
        <v>2471.04</v>
      </c>
      <c r="AF57" s="54">
        <f t="shared" si="21"/>
        <v>34257.599999999999</v>
      </c>
      <c r="AG57" s="54">
        <f t="shared" si="22"/>
        <v>13703.039999999999</v>
      </c>
    </row>
    <row r="58" spans="1:33" ht="10" customHeight="1">
      <c r="A58" s="47">
        <v>55</v>
      </c>
      <c r="B58" s="124" t="s">
        <v>178</v>
      </c>
      <c r="C58" s="28" t="s">
        <v>0</v>
      </c>
      <c r="D58" s="120" t="s">
        <v>117</v>
      </c>
      <c r="E58" s="28" t="s">
        <v>10</v>
      </c>
      <c r="F58" s="28" t="s">
        <v>3</v>
      </c>
      <c r="G58" s="199" t="str">
        <f>IF(H58="","",IF(ISNUMBER(SEARCH(" ",H58)),LEFT(H58,1)&amp;MID(H58,SEARCH(" ",H58)+1,1)&amp;IFERROR(MID(H58,SEARCH(" ",H58,SEARCH(" ",H58)+1)+1,1),""),LEFT(H58,3)))&amp;IF(I58="","","-"&amp;IF(ISNUMBER(SEARCH(" ",I58)),LEFT(I58,1)&amp;MID(I58,SEARCH(" ",I58)+1,1)&amp;IFERROR(MID(I58,SEARCH(" ",I58,SEARCH(" ",I58)+1)+1,1),""),LEFT(I58,3)))&amp;IF(D58="","","-"&amp;D58)&amp;"-"&amp;TEXT(COUNTIF($H$4:H58,H58),"000")</f>
        <v>FYV-VEE-805-046</v>
      </c>
      <c r="H58" s="48" t="s">
        <v>607</v>
      </c>
      <c r="I58" s="120" t="s">
        <v>660</v>
      </c>
      <c r="J58" s="29" t="s">
        <v>396</v>
      </c>
      <c r="K58" s="30" t="s">
        <v>303</v>
      </c>
      <c r="L58" s="31" t="s">
        <v>141</v>
      </c>
      <c r="M58" s="31" t="s">
        <v>174</v>
      </c>
      <c r="N58" s="31" t="s">
        <v>141</v>
      </c>
      <c r="O58" s="31" t="s">
        <v>524</v>
      </c>
      <c r="P58" s="39">
        <v>240</v>
      </c>
      <c r="Q58" s="40">
        <f t="shared" si="11"/>
        <v>96</v>
      </c>
      <c r="R58" s="23">
        <v>60</v>
      </c>
      <c r="S58" s="158">
        <f t="shared" si="12"/>
        <v>24</v>
      </c>
      <c r="T58" s="24">
        <v>96</v>
      </c>
      <c r="U58" s="25">
        <f t="shared" si="13"/>
        <v>38.400000000000006</v>
      </c>
      <c r="V58" s="32">
        <f t="shared" si="10"/>
        <v>396</v>
      </c>
      <c r="W58" s="32">
        <f t="shared" si="14"/>
        <v>158.4</v>
      </c>
      <c r="X58" s="110">
        <v>13</v>
      </c>
      <c r="Y58" s="160"/>
      <c r="Z58" s="33">
        <f t="shared" si="15"/>
        <v>3120</v>
      </c>
      <c r="AA58" s="33">
        <f t="shared" si="16"/>
        <v>1248</v>
      </c>
      <c r="AB58" s="33">
        <f t="shared" si="17"/>
        <v>780</v>
      </c>
      <c r="AC58" s="33">
        <f t="shared" si="18"/>
        <v>312</v>
      </c>
      <c r="AD58" s="33">
        <f t="shared" si="19"/>
        <v>1248</v>
      </c>
      <c r="AE58" s="33">
        <f t="shared" si="20"/>
        <v>499.20000000000005</v>
      </c>
      <c r="AF58" s="33">
        <f t="shared" si="21"/>
        <v>5148</v>
      </c>
      <c r="AG58" s="33">
        <f t="shared" si="22"/>
        <v>2059.2000000000003</v>
      </c>
    </row>
    <row r="59" spans="1:33" ht="10" customHeight="1">
      <c r="A59" s="47">
        <v>56</v>
      </c>
      <c r="B59" s="126" t="s">
        <v>178</v>
      </c>
      <c r="C59" s="48" t="s">
        <v>0</v>
      </c>
      <c r="D59" s="48" t="s">
        <v>28</v>
      </c>
      <c r="E59" s="48" t="s">
        <v>120</v>
      </c>
      <c r="F59" s="48" t="s">
        <v>3</v>
      </c>
      <c r="G59" s="199" t="str">
        <f>IF(H59="","",IF(ISNUMBER(SEARCH(" ",H59)),LEFT(H59,1)&amp;MID(H59,SEARCH(" ",H59)+1,1)&amp;IFERROR(MID(H59,SEARCH(" ",H59,SEARCH(" ",H59)+1)+1,1),""),LEFT(H59,3)))&amp;IF(I59="","","-"&amp;IF(ISNUMBER(SEARCH(" ",I59)),LEFT(I59,1)&amp;MID(I59,SEARCH(" ",I59)+1,1)&amp;IFERROR(MID(I59,SEARCH(" ",I59,SEARCH(" ",I59)+1)+1,1),""),LEFT(I59,3)))&amp;IF(D59="","","-"&amp;D59)&amp;"-"&amp;TEXT(COUNTIF($H$4:H59,H59),"000")</f>
        <v>FYV-VEE-302-047</v>
      </c>
      <c r="H59" s="48" t="s">
        <v>607</v>
      </c>
      <c r="I59" s="48" t="s">
        <v>660</v>
      </c>
      <c r="J59" s="49" t="s">
        <v>397</v>
      </c>
      <c r="K59" s="50" t="s">
        <v>299</v>
      </c>
      <c r="L59" s="51" t="s">
        <v>141</v>
      </c>
      <c r="M59" s="51" t="s">
        <v>174</v>
      </c>
      <c r="N59" s="51" t="s">
        <v>141</v>
      </c>
      <c r="O59" s="51" t="s">
        <v>524</v>
      </c>
      <c r="P59" s="39">
        <v>180</v>
      </c>
      <c r="Q59" s="40">
        <f t="shared" si="11"/>
        <v>72</v>
      </c>
      <c r="R59" s="23">
        <v>120</v>
      </c>
      <c r="S59" s="158">
        <f t="shared" si="12"/>
        <v>48</v>
      </c>
      <c r="T59" s="24">
        <v>300</v>
      </c>
      <c r="U59" s="25">
        <f t="shared" si="13"/>
        <v>120</v>
      </c>
      <c r="V59" s="53">
        <f t="shared" si="10"/>
        <v>600</v>
      </c>
      <c r="W59" s="53">
        <f t="shared" si="14"/>
        <v>240</v>
      </c>
      <c r="X59" s="112">
        <v>6.2</v>
      </c>
      <c r="Y59" s="160"/>
      <c r="Z59" s="54">
        <f t="shared" si="15"/>
        <v>1116</v>
      </c>
      <c r="AA59" s="54">
        <f t="shared" si="16"/>
        <v>446.40000000000003</v>
      </c>
      <c r="AB59" s="54">
        <f t="shared" si="17"/>
        <v>744</v>
      </c>
      <c r="AC59" s="54">
        <f t="shared" si="18"/>
        <v>297.60000000000002</v>
      </c>
      <c r="AD59" s="54">
        <f t="shared" si="19"/>
        <v>1860</v>
      </c>
      <c r="AE59" s="54">
        <f t="shared" si="20"/>
        <v>744</v>
      </c>
      <c r="AF59" s="54">
        <f t="shared" si="21"/>
        <v>3720</v>
      </c>
      <c r="AG59" s="54">
        <f t="shared" si="22"/>
        <v>1488</v>
      </c>
    </row>
    <row r="60" spans="1:33" ht="10" customHeight="1">
      <c r="A60" s="47">
        <v>57</v>
      </c>
      <c r="B60" s="124" t="s">
        <v>178</v>
      </c>
      <c r="C60" s="28" t="s">
        <v>0</v>
      </c>
      <c r="D60" s="28" t="s">
        <v>121</v>
      </c>
      <c r="E60" s="28" t="s">
        <v>16</v>
      </c>
      <c r="F60" s="28" t="s">
        <v>3</v>
      </c>
      <c r="G60" s="199" t="str">
        <f>IF(H60="","",IF(ISNUMBER(SEARCH(" ",H60)),LEFT(H60,1)&amp;MID(H60,SEARCH(" ",H60)+1,1)&amp;IFERROR(MID(H60,SEARCH(" ",H60,SEARCH(" ",H60)+1)+1,1),""),LEFT(H60,3)))&amp;IF(I60="","","-"&amp;IF(ISNUMBER(SEARCH(" ",I60)),LEFT(I60,1)&amp;MID(I60,SEARCH(" ",I60)+1,1)&amp;IFERROR(MID(I60,SEARCH(" ",I60,SEARCH(" ",I60)+1)+1,1),""),LEFT(I60,3)))&amp;IF(D60="","","-"&amp;D60)&amp;"-"&amp;TEXT(COUNTIF($H$4:H60,H60),"000")</f>
        <v>FYV-VEE-303-048</v>
      </c>
      <c r="H60" s="48" t="s">
        <v>607</v>
      </c>
      <c r="I60" s="28" t="s">
        <v>660</v>
      </c>
      <c r="J60" s="29" t="s">
        <v>398</v>
      </c>
      <c r="K60" s="30" t="s">
        <v>304</v>
      </c>
      <c r="L60" s="31" t="s">
        <v>141</v>
      </c>
      <c r="M60" s="31" t="s">
        <v>174</v>
      </c>
      <c r="N60" s="31" t="s">
        <v>141</v>
      </c>
      <c r="O60" s="31" t="s">
        <v>524</v>
      </c>
      <c r="P60" s="39">
        <v>24</v>
      </c>
      <c r="Q60" s="40">
        <f t="shared" si="11"/>
        <v>9.6000000000000014</v>
      </c>
      <c r="R60" s="23">
        <v>0</v>
      </c>
      <c r="S60" s="158">
        <f t="shared" si="12"/>
        <v>0</v>
      </c>
      <c r="T60" s="24">
        <v>36</v>
      </c>
      <c r="U60" s="25">
        <f t="shared" si="13"/>
        <v>14.4</v>
      </c>
      <c r="V60" s="32">
        <f t="shared" si="10"/>
        <v>60</v>
      </c>
      <c r="W60" s="32">
        <f t="shared" si="14"/>
        <v>24</v>
      </c>
      <c r="X60" s="110">
        <v>44</v>
      </c>
      <c r="Y60" s="160"/>
      <c r="Z60" s="33">
        <f t="shared" si="15"/>
        <v>1056</v>
      </c>
      <c r="AA60" s="33">
        <f t="shared" si="16"/>
        <v>422.40000000000009</v>
      </c>
      <c r="AB60" s="33">
        <f t="shared" si="17"/>
        <v>0</v>
      </c>
      <c r="AC60" s="33">
        <f t="shared" si="18"/>
        <v>0</v>
      </c>
      <c r="AD60" s="33">
        <f t="shared" si="19"/>
        <v>1584</v>
      </c>
      <c r="AE60" s="33">
        <f t="shared" si="20"/>
        <v>633.6</v>
      </c>
      <c r="AF60" s="33">
        <f t="shared" si="21"/>
        <v>2640</v>
      </c>
      <c r="AG60" s="33">
        <f t="shared" si="22"/>
        <v>1056</v>
      </c>
    </row>
    <row r="61" spans="1:33" ht="10" customHeight="1">
      <c r="A61" s="47">
        <v>58</v>
      </c>
      <c r="B61" s="126" t="s">
        <v>178</v>
      </c>
      <c r="C61" s="48" t="s">
        <v>0</v>
      </c>
      <c r="D61" s="48" t="s">
        <v>121</v>
      </c>
      <c r="E61" s="48" t="s">
        <v>2</v>
      </c>
      <c r="F61" s="48" t="s">
        <v>3</v>
      </c>
      <c r="G61" s="199" t="str">
        <f>IF(H61="","",IF(ISNUMBER(SEARCH(" ",H61)),LEFT(H61,1)&amp;MID(H61,SEARCH(" ",H61)+1,1)&amp;IFERROR(MID(H61,SEARCH(" ",H61,SEARCH(" ",H61)+1)+1,1),""),LEFT(H61,3)))&amp;IF(I61="","","-"&amp;IF(ISNUMBER(SEARCH(" ",I61)),LEFT(I61,1)&amp;MID(I61,SEARCH(" ",I61)+1,1)&amp;IFERROR(MID(I61,SEARCH(" ",I61,SEARCH(" ",I61)+1)+1,1),""),LEFT(I61,3)))&amp;IF(D61="","","-"&amp;D61)&amp;"-"&amp;TEXT(COUNTIF($H$4:H61,H61),"000")</f>
        <v>FYV-VEE-303-049</v>
      </c>
      <c r="H61" s="48" t="s">
        <v>607</v>
      </c>
      <c r="I61" s="48" t="s">
        <v>660</v>
      </c>
      <c r="J61" s="49" t="s">
        <v>399</v>
      </c>
      <c r="K61" s="50" t="s">
        <v>305</v>
      </c>
      <c r="L61" s="51" t="s">
        <v>141</v>
      </c>
      <c r="M61" s="51" t="s">
        <v>174</v>
      </c>
      <c r="N61" s="51" t="s">
        <v>141</v>
      </c>
      <c r="O61" s="51" t="s">
        <v>524</v>
      </c>
      <c r="P61" s="39">
        <v>120</v>
      </c>
      <c r="Q61" s="40">
        <f t="shared" si="11"/>
        <v>48</v>
      </c>
      <c r="R61" s="23">
        <v>36</v>
      </c>
      <c r="S61" s="158">
        <f t="shared" si="12"/>
        <v>14.4</v>
      </c>
      <c r="T61" s="24">
        <v>36</v>
      </c>
      <c r="U61" s="25">
        <f t="shared" si="13"/>
        <v>14.4</v>
      </c>
      <c r="V61" s="53">
        <f t="shared" si="10"/>
        <v>192</v>
      </c>
      <c r="W61" s="53">
        <f t="shared" si="14"/>
        <v>76.800000000000011</v>
      </c>
      <c r="X61" s="112">
        <v>44</v>
      </c>
      <c r="Y61" s="160"/>
      <c r="Z61" s="54">
        <f t="shared" si="15"/>
        <v>5280</v>
      </c>
      <c r="AA61" s="54">
        <f t="shared" si="16"/>
        <v>2112</v>
      </c>
      <c r="AB61" s="54">
        <f t="shared" si="17"/>
        <v>1584</v>
      </c>
      <c r="AC61" s="54">
        <f t="shared" si="18"/>
        <v>633.6</v>
      </c>
      <c r="AD61" s="54">
        <f t="shared" si="19"/>
        <v>1584</v>
      </c>
      <c r="AE61" s="54">
        <f t="shared" si="20"/>
        <v>633.6</v>
      </c>
      <c r="AF61" s="54">
        <f t="shared" si="21"/>
        <v>8448</v>
      </c>
      <c r="AG61" s="54">
        <f t="shared" si="22"/>
        <v>3379.2000000000007</v>
      </c>
    </row>
    <row r="62" spans="1:33" ht="10" customHeight="1">
      <c r="A62" s="47">
        <v>59</v>
      </c>
      <c r="B62" s="124" t="s">
        <v>178</v>
      </c>
      <c r="C62" s="28" t="s">
        <v>0</v>
      </c>
      <c r="D62" s="120" t="s">
        <v>117</v>
      </c>
      <c r="E62" s="28" t="s">
        <v>24</v>
      </c>
      <c r="F62" s="28" t="s">
        <v>3</v>
      </c>
      <c r="G62" s="199" t="str">
        <f>IF(H62="","",IF(ISNUMBER(SEARCH(" ",H62)),LEFT(H62,1)&amp;MID(H62,SEARCH(" ",H62)+1,1)&amp;IFERROR(MID(H62,SEARCH(" ",H62,SEARCH(" ",H62)+1)+1,1),""),LEFT(H62,3)))&amp;IF(I62="","","-"&amp;IF(ISNUMBER(SEARCH(" ",I62)),LEFT(I62,1)&amp;MID(I62,SEARCH(" ",I62)+1,1)&amp;IFERROR(MID(I62,SEARCH(" ",I62,SEARCH(" ",I62)+1)+1,1),""),LEFT(I62,3)))&amp;IF(D62="","","-"&amp;D62)&amp;"-"&amp;TEXT(COUNTIF($H$4:H62,H62),"000")</f>
        <v>FYV-VEE-805-050</v>
      </c>
      <c r="H62" s="48" t="s">
        <v>607</v>
      </c>
      <c r="I62" s="120" t="s">
        <v>660</v>
      </c>
      <c r="J62" s="29" t="s">
        <v>400</v>
      </c>
      <c r="K62" s="30" t="s">
        <v>306</v>
      </c>
      <c r="L62" s="31" t="s">
        <v>141</v>
      </c>
      <c r="M62" s="31" t="s">
        <v>174</v>
      </c>
      <c r="N62" s="31" t="s">
        <v>141</v>
      </c>
      <c r="O62" s="31" t="s">
        <v>524</v>
      </c>
      <c r="P62" s="39">
        <v>72</v>
      </c>
      <c r="Q62" s="40">
        <f t="shared" si="11"/>
        <v>28.8</v>
      </c>
      <c r="R62" s="23">
        <v>12</v>
      </c>
      <c r="S62" s="158">
        <f t="shared" si="12"/>
        <v>4.8000000000000007</v>
      </c>
      <c r="T62" s="24">
        <v>24</v>
      </c>
      <c r="U62" s="25">
        <f t="shared" si="13"/>
        <v>9.6000000000000014</v>
      </c>
      <c r="V62" s="32">
        <f t="shared" si="10"/>
        <v>108</v>
      </c>
      <c r="W62" s="32">
        <f t="shared" si="14"/>
        <v>43.2</v>
      </c>
      <c r="X62" s="110">
        <v>44.2</v>
      </c>
      <c r="Y62" s="160"/>
      <c r="Z62" s="33">
        <f t="shared" si="15"/>
        <v>3182.4</v>
      </c>
      <c r="AA62" s="33">
        <f t="shared" si="16"/>
        <v>1272.96</v>
      </c>
      <c r="AB62" s="33">
        <f t="shared" si="17"/>
        <v>530.40000000000009</v>
      </c>
      <c r="AC62" s="33">
        <f t="shared" si="18"/>
        <v>212.16000000000005</v>
      </c>
      <c r="AD62" s="33">
        <f t="shared" si="19"/>
        <v>1060.8000000000002</v>
      </c>
      <c r="AE62" s="33">
        <f t="shared" si="20"/>
        <v>424.32000000000011</v>
      </c>
      <c r="AF62" s="33">
        <f t="shared" si="21"/>
        <v>4773.6000000000004</v>
      </c>
      <c r="AG62" s="33">
        <f t="shared" si="22"/>
        <v>1909.4400000000003</v>
      </c>
    </row>
    <row r="63" spans="1:33" ht="10" customHeight="1">
      <c r="A63" s="47">
        <v>60</v>
      </c>
      <c r="B63" s="126" t="s">
        <v>178</v>
      </c>
      <c r="C63" s="48" t="s">
        <v>0</v>
      </c>
      <c r="D63" s="120" t="s">
        <v>117</v>
      </c>
      <c r="E63" s="48" t="s">
        <v>27</v>
      </c>
      <c r="F63" s="48" t="s">
        <v>3</v>
      </c>
      <c r="G63" s="199" t="str">
        <f>IF(H63="","",IF(ISNUMBER(SEARCH(" ",H63)),LEFT(H63,1)&amp;MID(H63,SEARCH(" ",H63)+1,1)&amp;IFERROR(MID(H63,SEARCH(" ",H63,SEARCH(" ",H63)+1)+1,1),""),LEFT(H63,3)))&amp;IF(I63="","","-"&amp;IF(ISNUMBER(SEARCH(" ",I63)),LEFT(I63,1)&amp;MID(I63,SEARCH(" ",I63)+1,1)&amp;IFERROR(MID(I63,SEARCH(" ",I63,SEARCH(" ",I63)+1)+1,1),""),LEFT(I63,3)))&amp;IF(D63="","","-"&amp;D63)&amp;"-"&amp;TEXT(COUNTIF($H$4:H63,H63),"000")</f>
        <v>FYV-VEE-805-051</v>
      </c>
      <c r="H63" s="48" t="s">
        <v>607</v>
      </c>
      <c r="I63" s="120" t="s">
        <v>660</v>
      </c>
      <c r="J63" s="49" t="s">
        <v>401</v>
      </c>
      <c r="K63" s="50" t="s">
        <v>307</v>
      </c>
      <c r="L63" s="51" t="s">
        <v>141</v>
      </c>
      <c r="M63" s="51" t="s">
        <v>174</v>
      </c>
      <c r="N63" s="51" t="s">
        <v>141</v>
      </c>
      <c r="O63" s="51" t="s">
        <v>524</v>
      </c>
      <c r="P63" s="39">
        <v>0</v>
      </c>
      <c r="Q63" s="40">
        <f t="shared" si="11"/>
        <v>0</v>
      </c>
      <c r="R63" s="23">
        <v>0</v>
      </c>
      <c r="S63" s="158">
        <f t="shared" si="12"/>
        <v>0</v>
      </c>
      <c r="T63" s="24">
        <v>0</v>
      </c>
      <c r="U63" s="25">
        <f t="shared" si="13"/>
        <v>0</v>
      </c>
      <c r="V63" s="53">
        <f t="shared" si="10"/>
        <v>0</v>
      </c>
      <c r="W63" s="53">
        <f t="shared" si="14"/>
        <v>0</v>
      </c>
      <c r="X63" s="106">
        <v>13.8</v>
      </c>
      <c r="Y63" s="160"/>
      <c r="Z63" s="54">
        <f t="shared" si="15"/>
        <v>0</v>
      </c>
      <c r="AA63" s="54">
        <f t="shared" si="16"/>
        <v>0</v>
      </c>
      <c r="AB63" s="54">
        <f t="shared" si="17"/>
        <v>0</v>
      </c>
      <c r="AC63" s="54">
        <f t="shared" si="18"/>
        <v>0</v>
      </c>
      <c r="AD63" s="54">
        <f t="shared" si="19"/>
        <v>0</v>
      </c>
      <c r="AE63" s="54">
        <f t="shared" si="20"/>
        <v>0</v>
      </c>
      <c r="AF63" s="54">
        <f t="shared" si="21"/>
        <v>0</v>
      </c>
      <c r="AG63" s="54">
        <f t="shared" si="22"/>
        <v>0</v>
      </c>
    </row>
    <row r="64" spans="1:33" ht="10" customHeight="1">
      <c r="A64" s="47">
        <v>61</v>
      </c>
      <c r="B64" s="124" t="s">
        <v>178</v>
      </c>
      <c r="C64" s="28" t="s">
        <v>0</v>
      </c>
      <c r="D64" s="28" t="s">
        <v>28</v>
      </c>
      <c r="E64" s="28" t="s">
        <v>122</v>
      </c>
      <c r="F64" s="28" t="s">
        <v>3</v>
      </c>
      <c r="G64" s="199" t="str">
        <f>IF(H64="","",IF(ISNUMBER(SEARCH(" ",H64)),LEFT(H64,1)&amp;MID(H64,SEARCH(" ",H64)+1,1)&amp;IFERROR(MID(H64,SEARCH(" ",H64,SEARCH(" ",H64)+1)+1,1),""),LEFT(H64,3)))&amp;IF(I64="","","-"&amp;IF(ISNUMBER(SEARCH(" ",I64)),LEFT(I64,1)&amp;MID(I64,SEARCH(" ",I64)+1,1)&amp;IFERROR(MID(I64,SEARCH(" ",I64,SEARCH(" ",I64)+1)+1,1),""),LEFT(I64,3)))&amp;IF(D64="","","-"&amp;D64)&amp;"-"&amp;TEXT(COUNTIF($H$4:H64,H64),"000")</f>
        <v>FYV-VEE-302-052</v>
      </c>
      <c r="H64" s="48" t="s">
        <v>607</v>
      </c>
      <c r="I64" s="28" t="s">
        <v>660</v>
      </c>
      <c r="J64" s="29" t="s">
        <v>402</v>
      </c>
      <c r="K64" s="30" t="s">
        <v>300</v>
      </c>
      <c r="L64" s="31" t="s">
        <v>141</v>
      </c>
      <c r="M64" s="31" t="s">
        <v>174</v>
      </c>
      <c r="N64" s="31" t="s">
        <v>141</v>
      </c>
      <c r="O64" s="31" t="s">
        <v>524</v>
      </c>
      <c r="P64" s="39">
        <v>0</v>
      </c>
      <c r="Q64" s="40">
        <f t="shared" si="11"/>
        <v>0</v>
      </c>
      <c r="R64" s="23">
        <v>0</v>
      </c>
      <c r="S64" s="158">
        <f t="shared" si="12"/>
        <v>0</v>
      </c>
      <c r="T64" s="24">
        <v>60</v>
      </c>
      <c r="U64" s="25">
        <f t="shared" si="13"/>
        <v>24</v>
      </c>
      <c r="V64" s="32">
        <f t="shared" si="10"/>
        <v>60</v>
      </c>
      <c r="W64" s="32">
        <f t="shared" si="14"/>
        <v>24</v>
      </c>
      <c r="X64" s="110">
        <v>29</v>
      </c>
      <c r="Y64" s="160"/>
      <c r="Z64" s="33">
        <f t="shared" si="15"/>
        <v>0</v>
      </c>
      <c r="AA64" s="33">
        <f t="shared" si="16"/>
        <v>0</v>
      </c>
      <c r="AB64" s="33">
        <f t="shared" si="17"/>
        <v>0</v>
      </c>
      <c r="AC64" s="33">
        <f t="shared" si="18"/>
        <v>0</v>
      </c>
      <c r="AD64" s="33">
        <f t="shared" si="19"/>
        <v>1740</v>
      </c>
      <c r="AE64" s="33">
        <f t="shared" si="20"/>
        <v>696</v>
      </c>
      <c r="AF64" s="33">
        <f t="shared" si="21"/>
        <v>1740</v>
      </c>
      <c r="AG64" s="33">
        <f t="shared" si="22"/>
        <v>696</v>
      </c>
    </row>
    <row r="65" spans="1:35" ht="10" customHeight="1">
      <c r="A65" s="47">
        <v>62</v>
      </c>
      <c r="B65" s="126" t="s">
        <v>178</v>
      </c>
      <c r="C65" s="48" t="s">
        <v>0</v>
      </c>
      <c r="D65" s="48" t="s">
        <v>28</v>
      </c>
      <c r="E65" s="48" t="s">
        <v>123</v>
      </c>
      <c r="F65" s="48" t="s">
        <v>3</v>
      </c>
      <c r="G65" s="199" t="str">
        <f>IF(H65="","",IF(ISNUMBER(SEARCH(" ",H65)),LEFT(H65,1)&amp;MID(H65,SEARCH(" ",H65)+1,1)&amp;IFERROR(MID(H65,SEARCH(" ",H65,SEARCH(" ",H65)+1)+1,1),""),LEFT(H65,3)))&amp;IF(I65="","","-"&amp;IF(ISNUMBER(SEARCH(" ",I65)),LEFT(I65,1)&amp;MID(I65,SEARCH(" ",I65)+1,1)&amp;IFERROR(MID(I65,SEARCH(" ",I65,SEARCH(" ",I65)+1)+1,1),""),LEFT(I65,3)))&amp;IF(D65="","","-"&amp;D65)&amp;"-"&amp;TEXT(COUNTIF($H$4:H65,H65),"000")</f>
        <v>FYV-VEE-302-053</v>
      </c>
      <c r="H65" s="48" t="s">
        <v>607</v>
      </c>
      <c r="I65" s="48" t="s">
        <v>660</v>
      </c>
      <c r="J65" s="49" t="s">
        <v>403</v>
      </c>
      <c r="K65" s="50" t="s">
        <v>293</v>
      </c>
      <c r="L65" s="51" t="s">
        <v>141</v>
      </c>
      <c r="M65" s="51" t="s">
        <v>174</v>
      </c>
      <c r="N65" s="51" t="s">
        <v>141</v>
      </c>
      <c r="O65" s="51" t="s">
        <v>524</v>
      </c>
      <c r="P65" s="39">
        <v>11700</v>
      </c>
      <c r="Q65" s="40">
        <f t="shared" si="11"/>
        <v>4680</v>
      </c>
      <c r="R65" s="23">
        <v>4200</v>
      </c>
      <c r="S65" s="158">
        <f t="shared" si="12"/>
        <v>1680</v>
      </c>
      <c r="T65" s="24">
        <v>6600</v>
      </c>
      <c r="U65" s="25">
        <f t="shared" si="13"/>
        <v>2640</v>
      </c>
      <c r="V65" s="53">
        <f t="shared" si="10"/>
        <v>22500</v>
      </c>
      <c r="W65" s="53">
        <f t="shared" si="14"/>
        <v>9000</v>
      </c>
      <c r="X65" s="112">
        <v>29</v>
      </c>
      <c r="Y65" s="160"/>
      <c r="Z65" s="54">
        <f t="shared" si="15"/>
        <v>339300</v>
      </c>
      <c r="AA65" s="54">
        <f t="shared" si="16"/>
        <v>135720</v>
      </c>
      <c r="AB65" s="54">
        <f t="shared" si="17"/>
        <v>121800</v>
      </c>
      <c r="AC65" s="54">
        <f t="shared" si="18"/>
        <v>48720</v>
      </c>
      <c r="AD65" s="54">
        <f t="shared" si="19"/>
        <v>191400</v>
      </c>
      <c r="AE65" s="54">
        <f t="shared" si="20"/>
        <v>76560</v>
      </c>
      <c r="AF65" s="54">
        <f t="shared" si="21"/>
        <v>652500</v>
      </c>
      <c r="AG65" s="54">
        <f t="shared" si="22"/>
        <v>261000</v>
      </c>
    </row>
    <row r="66" spans="1:35" ht="10" customHeight="1">
      <c r="A66" s="47">
        <v>63</v>
      </c>
      <c r="B66" s="124" t="s">
        <v>178</v>
      </c>
      <c r="C66" s="28" t="s">
        <v>0</v>
      </c>
      <c r="D66" s="28" t="s">
        <v>28</v>
      </c>
      <c r="E66" s="28" t="s">
        <v>98</v>
      </c>
      <c r="F66" s="28" t="s">
        <v>3</v>
      </c>
      <c r="G66" s="199" t="str">
        <f>IF(H66="","",IF(ISNUMBER(SEARCH(" ",H66)),LEFT(H66,1)&amp;MID(H66,SEARCH(" ",H66)+1,1)&amp;IFERROR(MID(H66,SEARCH(" ",H66,SEARCH(" ",H66)+1)+1,1),""),LEFT(H66,3)))&amp;IF(I66="","","-"&amp;IF(ISNUMBER(SEARCH(" ",I66)),LEFT(I66,1)&amp;MID(I66,SEARCH(" ",I66)+1,1)&amp;IFERROR(MID(I66,SEARCH(" ",I66,SEARCH(" ",I66)+1)+1,1),""),LEFT(I66,3)))&amp;IF(D66="","","-"&amp;D66)&amp;"-"&amp;TEXT(COUNTIF($H$4:H66,H66),"000")</f>
        <v>FYV-VEE-302-054</v>
      </c>
      <c r="H66" s="48" t="s">
        <v>607</v>
      </c>
      <c r="I66" s="28" t="s">
        <v>660</v>
      </c>
      <c r="J66" s="29" t="s">
        <v>404</v>
      </c>
      <c r="K66" s="30" t="s">
        <v>327</v>
      </c>
      <c r="L66" s="31" t="s">
        <v>141</v>
      </c>
      <c r="M66" s="31" t="s">
        <v>174</v>
      </c>
      <c r="N66" s="31" t="s">
        <v>141</v>
      </c>
      <c r="O66" s="31" t="s">
        <v>524</v>
      </c>
      <c r="P66" s="39">
        <v>4560</v>
      </c>
      <c r="Q66" s="40">
        <f t="shared" si="11"/>
        <v>1824</v>
      </c>
      <c r="R66" s="23">
        <v>1560</v>
      </c>
      <c r="S66" s="158">
        <f t="shared" si="12"/>
        <v>624</v>
      </c>
      <c r="T66" s="24">
        <v>2280</v>
      </c>
      <c r="U66" s="25">
        <f t="shared" si="13"/>
        <v>912</v>
      </c>
      <c r="V66" s="32">
        <f t="shared" si="10"/>
        <v>8400</v>
      </c>
      <c r="W66" s="32">
        <f t="shared" si="14"/>
        <v>3360</v>
      </c>
      <c r="X66" s="110">
        <v>24</v>
      </c>
      <c r="Y66" s="160"/>
      <c r="Z66" s="33">
        <f t="shared" si="15"/>
        <v>109440</v>
      </c>
      <c r="AA66" s="33">
        <f t="shared" si="16"/>
        <v>43776</v>
      </c>
      <c r="AB66" s="33">
        <f t="shared" si="17"/>
        <v>37440</v>
      </c>
      <c r="AC66" s="33">
        <f t="shared" si="18"/>
        <v>14976</v>
      </c>
      <c r="AD66" s="33">
        <f t="shared" si="19"/>
        <v>54720</v>
      </c>
      <c r="AE66" s="33">
        <f t="shared" si="20"/>
        <v>21888</v>
      </c>
      <c r="AF66" s="33">
        <f t="shared" si="21"/>
        <v>201600</v>
      </c>
      <c r="AG66" s="33">
        <f t="shared" si="22"/>
        <v>80640</v>
      </c>
    </row>
    <row r="67" spans="1:35" ht="10" customHeight="1">
      <c r="A67" s="47">
        <v>64</v>
      </c>
      <c r="B67" s="126" t="s">
        <v>178</v>
      </c>
      <c r="C67" s="48" t="s">
        <v>0</v>
      </c>
      <c r="D67" s="48" t="s">
        <v>28</v>
      </c>
      <c r="E67" s="48" t="s">
        <v>124</v>
      </c>
      <c r="F67" s="48" t="s">
        <v>3</v>
      </c>
      <c r="G67" s="199" t="str">
        <f>IF(H67="","",IF(ISNUMBER(SEARCH(" ",H67)),LEFT(H67,1)&amp;MID(H67,SEARCH(" ",H67)+1,1)&amp;IFERROR(MID(H67,SEARCH(" ",H67,SEARCH(" ",H67)+1)+1,1),""),LEFT(H67,3)))&amp;IF(I67="","","-"&amp;IF(ISNUMBER(SEARCH(" ",I67)),LEFT(I67,1)&amp;MID(I67,SEARCH(" ",I67)+1,1)&amp;IFERROR(MID(I67,SEARCH(" ",I67,SEARCH(" ",I67)+1)+1,1),""),LEFT(I67,3)))&amp;IF(D67="","","-"&amp;D67)&amp;"-"&amp;TEXT(COUNTIF($H$4:H67,H67),"000")</f>
        <v>FYV-VEE-302-055</v>
      </c>
      <c r="H67" s="48" t="s">
        <v>607</v>
      </c>
      <c r="I67" s="48" t="s">
        <v>660</v>
      </c>
      <c r="J67" s="49" t="s">
        <v>405</v>
      </c>
      <c r="K67" s="50" t="s">
        <v>292</v>
      </c>
      <c r="L67" s="51" t="s">
        <v>141</v>
      </c>
      <c r="M67" s="51" t="s">
        <v>174</v>
      </c>
      <c r="N67" s="51" t="s">
        <v>141</v>
      </c>
      <c r="O67" s="51" t="s">
        <v>524</v>
      </c>
      <c r="P67" s="39">
        <v>4200</v>
      </c>
      <c r="Q67" s="40">
        <f t="shared" si="11"/>
        <v>1680</v>
      </c>
      <c r="R67" s="23">
        <v>1800</v>
      </c>
      <c r="S67" s="158">
        <f t="shared" si="12"/>
        <v>720</v>
      </c>
      <c r="T67" s="24">
        <v>1020</v>
      </c>
      <c r="U67" s="25">
        <f t="shared" si="13"/>
        <v>408</v>
      </c>
      <c r="V67" s="53">
        <f t="shared" si="10"/>
        <v>7020</v>
      </c>
      <c r="W67" s="53">
        <f t="shared" si="14"/>
        <v>2808</v>
      </c>
      <c r="X67" s="112">
        <v>21.6</v>
      </c>
      <c r="Y67" s="160"/>
      <c r="Z67" s="54">
        <f t="shared" si="15"/>
        <v>90720</v>
      </c>
      <c r="AA67" s="54">
        <f t="shared" si="16"/>
        <v>36288</v>
      </c>
      <c r="AB67" s="54">
        <f t="shared" si="17"/>
        <v>38880</v>
      </c>
      <c r="AC67" s="54">
        <f t="shared" si="18"/>
        <v>15552.000000000002</v>
      </c>
      <c r="AD67" s="54">
        <f t="shared" si="19"/>
        <v>22032</v>
      </c>
      <c r="AE67" s="54">
        <f t="shared" si="20"/>
        <v>8812.8000000000011</v>
      </c>
      <c r="AF67" s="54">
        <f t="shared" si="21"/>
        <v>151632</v>
      </c>
      <c r="AG67" s="54">
        <f t="shared" si="22"/>
        <v>60652.800000000003</v>
      </c>
    </row>
    <row r="68" spans="1:35" ht="10" customHeight="1">
      <c r="A68" s="47">
        <v>65</v>
      </c>
      <c r="B68" s="124" t="s">
        <v>178</v>
      </c>
      <c r="C68" s="28" t="s">
        <v>0</v>
      </c>
      <c r="D68" s="28" t="s">
        <v>28</v>
      </c>
      <c r="E68" s="28" t="s">
        <v>125</v>
      </c>
      <c r="F68" s="28" t="s">
        <v>3</v>
      </c>
      <c r="G68" s="199" t="str">
        <f>IF(H68="","",IF(ISNUMBER(SEARCH(" ",H68)),LEFT(H68,1)&amp;MID(H68,SEARCH(" ",H68)+1,1)&amp;IFERROR(MID(H68,SEARCH(" ",H68,SEARCH(" ",H68)+1)+1,1),""),LEFT(H68,3)))&amp;IF(I68="","","-"&amp;IF(ISNUMBER(SEARCH(" ",I68)),LEFT(I68,1)&amp;MID(I68,SEARCH(" ",I68)+1,1)&amp;IFERROR(MID(I68,SEARCH(" ",I68,SEARCH(" ",I68)+1)+1,1),""),LEFT(I68,3)))&amp;IF(D68="","","-"&amp;D68)&amp;"-"&amp;TEXT(COUNTIF($H$4:H68,H68),"000")</f>
        <v>FYV-VEE-302-056</v>
      </c>
      <c r="H68" s="48" t="s">
        <v>607</v>
      </c>
      <c r="I68" s="28" t="s">
        <v>660</v>
      </c>
      <c r="J68" s="29" t="s">
        <v>406</v>
      </c>
      <c r="K68" s="30" t="s">
        <v>328</v>
      </c>
      <c r="L68" s="31" t="s">
        <v>141</v>
      </c>
      <c r="M68" s="31" t="s">
        <v>174</v>
      </c>
      <c r="N68" s="31" t="s">
        <v>141</v>
      </c>
      <c r="O68" s="31" t="s">
        <v>524</v>
      </c>
      <c r="P68" s="39">
        <v>8400</v>
      </c>
      <c r="Q68" s="40">
        <f t="shared" si="11"/>
        <v>3360</v>
      </c>
      <c r="R68" s="23">
        <v>2400</v>
      </c>
      <c r="S68" s="158">
        <f t="shared" si="12"/>
        <v>960</v>
      </c>
      <c r="T68" s="24">
        <v>3480</v>
      </c>
      <c r="U68" s="25">
        <f t="shared" si="13"/>
        <v>1392</v>
      </c>
      <c r="V68" s="32">
        <f t="shared" si="10"/>
        <v>14280</v>
      </c>
      <c r="W68" s="32">
        <f t="shared" si="14"/>
        <v>5712</v>
      </c>
      <c r="X68" s="110">
        <v>34.5</v>
      </c>
      <c r="Y68" s="160"/>
      <c r="Z68" s="33">
        <f t="shared" ref="Z68:Z99" si="23">X68*P68</f>
        <v>289800</v>
      </c>
      <c r="AA68" s="33">
        <f t="shared" ref="AA68:AA99" si="24">X68*Q68</f>
        <v>115920</v>
      </c>
      <c r="AB68" s="33">
        <f t="shared" ref="AB68:AB99" si="25">X68*R68</f>
        <v>82800</v>
      </c>
      <c r="AC68" s="33">
        <f t="shared" ref="AC68:AC99" si="26">X68*S68</f>
        <v>33120</v>
      </c>
      <c r="AD68" s="33">
        <f t="shared" ref="AD68:AD99" si="27">X68*T68</f>
        <v>120060</v>
      </c>
      <c r="AE68" s="33">
        <f t="shared" ref="AE68:AE99" si="28">X68*U68</f>
        <v>48024</v>
      </c>
      <c r="AF68" s="33">
        <f t="shared" ref="AF68:AF99" si="29">X68*V68</f>
        <v>492660</v>
      </c>
      <c r="AG68" s="33">
        <f t="shared" ref="AG68:AG99" si="30">X68*W68</f>
        <v>197064</v>
      </c>
    </row>
    <row r="69" spans="1:35" ht="10" customHeight="1">
      <c r="A69" s="47">
        <v>66</v>
      </c>
      <c r="B69" s="126" t="s">
        <v>178</v>
      </c>
      <c r="C69" s="48" t="s">
        <v>0</v>
      </c>
      <c r="D69" s="48" t="s">
        <v>28</v>
      </c>
      <c r="E69" s="48" t="s">
        <v>126</v>
      </c>
      <c r="F69" s="48" t="s">
        <v>3</v>
      </c>
      <c r="G69" s="199" t="str">
        <f>IF(H69="","",IF(ISNUMBER(SEARCH(" ",H69)),LEFT(H69,1)&amp;MID(H69,SEARCH(" ",H69)+1,1)&amp;IFERROR(MID(H69,SEARCH(" ",H69,SEARCH(" ",H69)+1)+1,1),""),LEFT(H69,3)))&amp;IF(I69="","","-"&amp;IF(ISNUMBER(SEARCH(" ",I69)),LEFT(I69,1)&amp;MID(I69,SEARCH(" ",I69)+1,1)&amp;IFERROR(MID(I69,SEARCH(" ",I69,SEARCH(" ",I69)+1)+1,1),""),LEFT(I69,3)))&amp;IF(D69="","","-"&amp;D69)&amp;"-"&amp;TEXT(COUNTIF($H$4:H69,H69),"000")</f>
        <v>FYV-VEE-302-057</v>
      </c>
      <c r="H69" s="48" t="s">
        <v>607</v>
      </c>
      <c r="I69" s="48" t="s">
        <v>660</v>
      </c>
      <c r="J69" s="49" t="s">
        <v>407</v>
      </c>
      <c r="K69" s="50" t="s">
        <v>291</v>
      </c>
      <c r="L69" s="51" t="s">
        <v>141</v>
      </c>
      <c r="M69" s="51" t="s">
        <v>174</v>
      </c>
      <c r="N69" s="51" t="s">
        <v>141</v>
      </c>
      <c r="O69" s="51" t="s">
        <v>524</v>
      </c>
      <c r="P69" s="39">
        <v>0</v>
      </c>
      <c r="Q69" s="40">
        <f t="shared" si="11"/>
        <v>0</v>
      </c>
      <c r="R69" s="23">
        <v>0</v>
      </c>
      <c r="S69" s="158">
        <f t="shared" si="12"/>
        <v>0</v>
      </c>
      <c r="T69" s="24">
        <v>0</v>
      </c>
      <c r="U69" s="25">
        <f t="shared" si="13"/>
        <v>0</v>
      </c>
      <c r="V69" s="53">
        <f t="shared" si="10"/>
        <v>0</v>
      </c>
      <c r="W69" s="53">
        <f t="shared" si="14"/>
        <v>0</v>
      </c>
      <c r="X69" s="106">
        <v>34.5</v>
      </c>
      <c r="Y69" s="160"/>
      <c r="Z69" s="54">
        <f t="shared" si="23"/>
        <v>0</v>
      </c>
      <c r="AA69" s="54">
        <f t="shared" si="24"/>
        <v>0</v>
      </c>
      <c r="AB69" s="54">
        <f t="shared" si="25"/>
        <v>0</v>
      </c>
      <c r="AC69" s="54">
        <f t="shared" si="26"/>
        <v>0</v>
      </c>
      <c r="AD69" s="54">
        <f t="shared" si="27"/>
        <v>0</v>
      </c>
      <c r="AE69" s="54">
        <f t="shared" si="28"/>
        <v>0</v>
      </c>
      <c r="AF69" s="54">
        <f t="shared" si="29"/>
        <v>0</v>
      </c>
      <c r="AG69" s="54">
        <f t="shared" si="30"/>
        <v>0</v>
      </c>
    </row>
    <row r="70" spans="1:35" ht="10" customHeight="1">
      <c r="A70" s="47">
        <v>67</v>
      </c>
      <c r="B70" s="124" t="s">
        <v>178</v>
      </c>
      <c r="C70" s="28" t="s">
        <v>0</v>
      </c>
      <c r="D70" s="28" t="s">
        <v>28</v>
      </c>
      <c r="E70" s="28" t="s">
        <v>127</v>
      </c>
      <c r="F70" s="28" t="s">
        <v>3</v>
      </c>
      <c r="G70" s="199" t="str">
        <f>IF(H70="","",IF(ISNUMBER(SEARCH(" ",H70)),LEFT(H70,1)&amp;MID(H70,SEARCH(" ",H70)+1,1)&amp;IFERROR(MID(H70,SEARCH(" ",H70,SEARCH(" ",H70)+1)+1,1),""),LEFT(H70,3)))&amp;IF(I70="","","-"&amp;IF(ISNUMBER(SEARCH(" ",I70)),LEFT(I70,1)&amp;MID(I70,SEARCH(" ",I70)+1,1)&amp;IFERROR(MID(I70,SEARCH(" ",I70,SEARCH(" ",I70)+1)+1,1),""),LEFT(I70,3)))&amp;IF(D70="","","-"&amp;D70)&amp;"-"&amp;TEXT(COUNTIF($H$4:H70,H70),"000")</f>
        <v>FYV-VEE-302-058</v>
      </c>
      <c r="H70" s="48" t="s">
        <v>607</v>
      </c>
      <c r="I70" s="28" t="s">
        <v>660</v>
      </c>
      <c r="J70" s="29" t="s">
        <v>408</v>
      </c>
      <c r="K70" s="30" t="s">
        <v>329</v>
      </c>
      <c r="L70" s="31" t="s">
        <v>141</v>
      </c>
      <c r="M70" s="31" t="s">
        <v>174</v>
      </c>
      <c r="N70" s="31" t="s">
        <v>141</v>
      </c>
      <c r="O70" s="31" t="s">
        <v>524</v>
      </c>
      <c r="P70" s="39">
        <v>2160</v>
      </c>
      <c r="Q70" s="40">
        <f t="shared" si="11"/>
        <v>864</v>
      </c>
      <c r="R70" s="23">
        <v>600</v>
      </c>
      <c r="S70" s="158">
        <f t="shared" si="12"/>
        <v>240</v>
      </c>
      <c r="T70" s="24">
        <v>180</v>
      </c>
      <c r="U70" s="25">
        <f t="shared" si="13"/>
        <v>72</v>
      </c>
      <c r="V70" s="32">
        <f t="shared" si="10"/>
        <v>2940</v>
      </c>
      <c r="W70" s="32">
        <f t="shared" si="14"/>
        <v>1176</v>
      </c>
      <c r="X70" s="110">
        <v>20</v>
      </c>
      <c r="Y70" s="160"/>
      <c r="Z70" s="33">
        <f t="shared" si="23"/>
        <v>43200</v>
      </c>
      <c r="AA70" s="33">
        <f t="shared" si="24"/>
        <v>17280</v>
      </c>
      <c r="AB70" s="33">
        <f t="shared" si="25"/>
        <v>12000</v>
      </c>
      <c r="AC70" s="33">
        <f t="shared" si="26"/>
        <v>4800</v>
      </c>
      <c r="AD70" s="33">
        <f t="shared" si="27"/>
        <v>3600</v>
      </c>
      <c r="AE70" s="33">
        <f t="shared" si="28"/>
        <v>1440</v>
      </c>
      <c r="AF70" s="33">
        <f t="shared" si="29"/>
        <v>58800</v>
      </c>
      <c r="AG70" s="33">
        <f t="shared" si="30"/>
        <v>23520</v>
      </c>
    </row>
    <row r="71" spans="1:35" ht="10" customHeight="1">
      <c r="A71" s="47">
        <v>68</v>
      </c>
      <c r="B71" s="126" t="s">
        <v>178</v>
      </c>
      <c r="C71" s="48" t="s">
        <v>0</v>
      </c>
      <c r="D71" s="120" t="s">
        <v>117</v>
      </c>
      <c r="E71" s="48" t="s">
        <v>50</v>
      </c>
      <c r="F71" s="48" t="s">
        <v>3</v>
      </c>
      <c r="G71" s="199" t="str">
        <f>IF(H71="","",IF(ISNUMBER(SEARCH(" ",H71)),LEFT(H71,1)&amp;MID(H71,SEARCH(" ",H71)+1,1)&amp;IFERROR(MID(H71,SEARCH(" ",H71,SEARCH(" ",H71)+1)+1,1),""),LEFT(H71,3)))&amp;IF(I71="","","-"&amp;IF(ISNUMBER(SEARCH(" ",I71)),LEFT(I71,1)&amp;MID(I71,SEARCH(" ",I71)+1,1)&amp;IFERROR(MID(I71,SEARCH(" ",I71,SEARCH(" ",I71)+1)+1,1),""),LEFT(I71,3)))&amp;IF(D71="","","-"&amp;D71)&amp;"-"&amp;TEXT(COUNTIF($H$4:H71,H71),"000")</f>
        <v>FYV-VEE-805-059</v>
      </c>
      <c r="H71" s="48" t="s">
        <v>607</v>
      </c>
      <c r="I71" s="120" t="s">
        <v>660</v>
      </c>
      <c r="J71" s="49" t="s">
        <v>409</v>
      </c>
      <c r="K71" s="50" t="s">
        <v>308</v>
      </c>
      <c r="L71" s="51" t="s">
        <v>141</v>
      </c>
      <c r="M71" s="51" t="s">
        <v>174</v>
      </c>
      <c r="N71" s="51" t="s">
        <v>141</v>
      </c>
      <c r="O71" s="51" t="s">
        <v>524</v>
      </c>
      <c r="P71" s="39">
        <v>120</v>
      </c>
      <c r="Q71" s="40">
        <f t="shared" si="11"/>
        <v>48</v>
      </c>
      <c r="R71" s="23">
        <v>60</v>
      </c>
      <c r="S71" s="158">
        <f t="shared" si="12"/>
        <v>24</v>
      </c>
      <c r="T71" s="24">
        <v>96</v>
      </c>
      <c r="U71" s="25">
        <f t="shared" si="13"/>
        <v>38.400000000000006</v>
      </c>
      <c r="V71" s="53">
        <f t="shared" si="10"/>
        <v>276</v>
      </c>
      <c r="W71" s="53">
        <f t="shared" si="14"/>
        <v>110.4</v>
      </c>
      <c r="X71" s="112">
        <v>17.399999999999999</v>
      </c>
      <c r="Y71" s="160"/>
      <c r="Z71" s="54">
        <f t="shared" si="23"/>
        <v>2088</v>
      </c>
      <c r="AA71" s="54">
        <f t="shared" si="24"/>
        <v>835.19999999999993</v>
      </c>
      <c r="AB71" s="54">
        <f t="shared" si="25"/>
        <v>1044</v>
      </c>
      <c r="AC71" s="54">
        <f t="shared" si="26"/>
        <v>417.59999999999997</v>
      </c>
      <c r="AD71" s="54">
        <f t="shared" si="27"/>
        <v>1670.3999999999999</v>
      </c>
      <c r="AE71" s="54">
        <f t="shared" si="28"/>
        <v>668.16000000000008</v>
      </c>
      <c r="AF71" s="54">
        <f t="shared" si="29"/>
        <v>4802.3999999999996</v>
      </c>
      <c r="AG71" s="54">
        <f t="shared" si="30"/>
        <v>1920.96</v>
      </c>
    </row>
    <row r="72" spans="1:35" ht="10" customHeight="1">
      <c r="A72" s="47">
        <v>69</v>
      </c>
      <c r="B72" s="124" t="s">
        <v>178</v>
      </c>
      <c r="C72" s="28" t="s">
        <v>0</v>
      </c>
      <c r="D72" s="28" t="s">
        <v>28</v>
      </c>
      <c r="E72" s="28" t="s">
        <v>128</v>
      </c>
      <c r="F72" s="28" t="s">
        <v>3</v>
      </c>
      <c r="G72" s="199" t="str">
        <f>IF(H72="","",IF(ISNUMBER(SEARCH(" ",H72)),LEFT(H72,1)&amp;MID(H72,SEARCH(" ",H72)+1,1)&amp;IFERROR(MID(H72,SEARCH(" ",H72,SEARCH(" ",H72)+1)+1,1),""),LEFT(H72,3)))&amp;IF(I72="","","-"&amp;IF(ISNUMBER(SEARCH(" ",I72)),LEFT(I72,1)&amp;MID(I72,SEARCH(" ",I72)+1,1)&amp;IFERROR(MID(I72,SEARCH(" ",I72,SEARCH(" ",I72)+1)+1,1),""),LEFT(I72,3)))&amp;IF(D72="","","-"&amp;D72)&amp;"-"&amp;TEXT(COUNTIF($H$4:H72,H72),"000")</f>
        <v>FYV-VEE-302-060</v>
      </c>
      <c r="H72" s="48" t="s">
        <v>607</v>
      </c>
      <c r="I72" s="28" t="s">
        <v>660</v>
      </c>
      <c r="J72" s="29" t="s">
        <v>410</v>
      </c>
      <c r="K72" s="30" t="s">
        <v>330</v>
      </c>
      <c r="L72" s="31" t="s">
        <v>141</v>
      </c>
      <c r="M72" s="31" t="s">
        <v>174</v>
      </c>
      <c r="N72" s="31" t="s">
        <v>141</v>
      </c>
      <c r="O72" s="31" t="s">
        <v>524</v>
      </c>
      <c r="P72" s="39">
        <v>360</v>
      </c>
      <c r="Q72" s="40">
        <f t="shared" si="11"/>
        <v>144</v>
      </c>
      <c r="R72" s="23">
        <v>120</v>
      </c>
      <c r="S72" s="158">
        <f t="shared" si="12"/>
        <v>48</v>
      </c>
      <c r="T72" s="24">
        <v>60</v>
      </c>
      <c r="U72" s="25">
        <f t="shared" si="13"/>
        <v>24</v>
      </c>
      <c r="V72" s="32">
        <f t="shared" si="10"/>
        <v>540</v>
      </c>
      <c r="W72" s="32">
        <f t="shared" si="14"/>
        <v>216</v>
      </c>
      <c r="X72" s="110">
        <v>59</v>
      </c>
      <c r="Y72" s="160"/>
      <c r="Z72" s="33">
        <f t="shared" si="23"/>
        <v>21240</v>
      </c>
      <c r="AA72" s="33">
        <f t="shared" si="24"/>
        <v>8496</v>
      </c>
      <c r="AB72" s="33">
        <f t="shared" si="25"/>
        <v>7080</v>
      </c>
      <c r="AC72" s="33">
        <f t="shared" si="26"/>
        <v>2832</v>
      </c>
      <c r="AD72" s="33">
        <f t="shared" si="27"/>
        <v>3540</v>
      </c>
      <c r="AE72" s="33">
        <f t="shared" si="28"/>
        <v>1416</v>
      </c>
      <c r="AF72" s="33">
        <f t="shared" si="29"/>
        <v>31860</v>
      </c>
      <c r="AG72" s="33">
        <f t="shared" si="30"/>
        <v>12744</v>
      </c>
    </row>
    <row r="73" spans="1:35" ht="10" customHeight="1">
      <c r="A73" s="47">
        <v>70</v>
      </c>
      <c r="B73" s="126" t="s">
        <v>178</v>
      </c>
      <c r="C73" s="48" t="s">
        <v>0</v>
      </c>
      <c r="D73" s="48" t="s">
        <v>28</v>
      </c>
      <c r="E73" s="48" t="s">
        <v>129</v>
      </c>
      <c r="F73" s="48" t="s">
        <v>3</v>
      </c>
      <c r="G73" s="199" t="str">
        <f>IF(H73="","",IF(ISNUMBER(SEARCH(" ",H73)),LEFT(H73,1)&amp;MID(H73,SEARCH(" ",H73)+1,1)&amp;IFERROR(MID(H73,SEARCH(" ",H73,SEARCH(" ",H73)+1)+1,1),""),LEFT(H73,3)))&amp;IF(I73="","","-"&amp;IF(ISNUMBER(SEARCH(" ",I73)),LEFT(I73,1)&amp;MID(I73,SEARCH(" ",I73)+1,1)&amp;IFERROR(MID(I73,SEARCH(" ",I73,SEARCH(" ",I73)+1)+1,1),""),LEFT(I73,3)))&amp;IF(D73="","","-"&amp;D73)&amp;"-"&amp;TEXT(COUNTIF($H$4:H73,H73),"000")</f>
        <v>FYV-VEE-302-061</v>
      </c>
      <c r="H73" s="48" t="s">
        <v>607</v>
      </c>
      <c r="I73" s="48" t="s">
        <v>660</v>
      </c>
      <c r="J73" s="49" t="s">
        <v>411</v>
      </c>
      <c r="K73" s="50" t="s">
        <v>290</v>
      </c>
      <c r="L73" s="51" t="s">
        <v>141</v>
      </c>
      <c r="M73" s="51" t="s">
        <v>174</v>
      </c>
      <c r="N73" s="51" t="s">
        <v>141</v>
      </c>
      <c r="O73" s="51" t="s">
        <v>524</v>
      </c>
      <c r="P73" s="39">
        <v>36</v>
      </c>
      <c r="Q73" s="40">
        <f t="shared" si="11"/>
        <v>14.4</v>
      </c>
      <c r="R73" s="23">
        <v>60</v>
      </c>
      <c r="S73" s="158">
        <f t="shared" si="12"/>
        <v>24</v>
      </c>
      <c r="T73" s="24">
        <v>60</v>
      </c>
      <c r="U73" s="25">
        <f t="shared" si="13"/>
        <v>24</v>
      </c>
      <c r="V73" s="53">
        <f t="shared" si="10"/>
        <v>156</v>
      </c>
      <c r="W73" s="53">
        <f t="shared" si="14"/>
        <v>62.400000000000006</v>
      </c>
      <c r="X73" s="112">
        <v>19.5</v>
      </c>
      <c r="Y73" s="160"/>
      <c r="Z73" s="54">
        <f t="shared" si="23"/>
        <v>702</v>
      </c>
      <c r="AA73" s="54">
        <f t="shared" si="24"/>
        <v>280.8</v>
      </c>
      <c r="AB73" s="54">
        <f t="shared" si="25"/>
        <v>1170</v>
      </c>
      <c r="AC73" s="54">
        <f t="shared" si="26"/>
        <v>468</v>
      </c>
      <c r="AD73" s="54">
        <f t="shared" si="27"/>
        <v>1170</v>
      </c>
      <c r="AE73" s="54">
        <f t="shared" si="28"/>
        <v>468</v>
      </c>
      <c r="AF73" s="54">
        <f t="shared" si="29"/>
        <v>3042</v>
      </c>
      <c r="AG73" s="54">
        <f t="shared" si="30"/>
        <v>1216.8000000000002</v>
      </c>
    </row>
    <row r="74" spans="1:35" ht="10" customHeight="1">
      <c r="A74" s="47">
        <v>71</v>
      </c>
      <c r="B74" s="124" t="s">
        <v>178</v>
      </c>
      <c r="C74" s="28" t="s">
        <v>0</v>
      </c>
      <c r="D74" s="120" t="s">
        <v>25</v>
      </c>
      <c r="E74" s="28" t="s">
        <v>27</v>
      </c>
      <c r="F74" s="28" t="s">
        <v>3</v>
      </c>
      <c r="G74" s="199" t="str">
        <f>IF(H74="","",IF(ISNUMBER(SEARCH(" ",H74)),LEFT(H74,1)&amp;MID(H74,SEARCH(" ",H74)+1,1)&amp;IFERROR(MID(H74,SEARCH(" ",H74,SEARCH(" ",H74)+1)+1,1),""),LEFT(H74,3)))&amp;IF(I74="","","-"&amp;IF(ISNUMBER(SEARCH(" ",I74)),LEFT(I74,1)&amp;MID(I74,SEARCH(" ",I74)+1,1)&amp;IFERROR(MID(I74,SEARCH(" ",I74,SEARCH(" ",I74)+1)+1,1),""),LEFT(I74,3)))&amp;IF(D74="","","-"&amp;D74)&amp;"-"&amp;TEXT(COUNTIF($H$4:H74,H74),"000")</f>
        <v>FYV-VEE-806-062</v>
      </c>
      <c r="H74" s="48" t="s">
        <v>607</v>
      </c>
      <c r="I74" s="120" t="s">
        <v>660</v>
      </c>
      <c r="J74" s="29" t="s">
        <v>645</v>
      </c>
      <c r="K74" s="30" t="s">
        <v>289</v>
      </c>
      <c r="L74" s="31" t="s">
        <v>141</v>
      </c>
      <c r="M74" s="31" t="s">
        <v>174</v>
      </c>
      <c r="N74" s="31" t="s">
        <v>141</v>
      </c>
      <c r="O74" s="31" t="s">
        <v>524</v>
      </c>
      <c r="P74" s="39">
        <v>540</v>
      </c>
      <c r="Q74" s="40">
        <f t="shared" si="11"/>
        <v>216</v>
      </c>
      <c r="R74" s="23">
        <v>24</v>
      </c>
      <c r="S74" s="158">
        <f t="shared" si="12"/>
        <v>9.6000000000000014</v>
      </c>
      <c r="T74" s="24">
        <v>36</v>
      </c>
      <c r="U74" s="25">
        <f t="shared" si="13"/>
        <v>14.4</v>
      </c>
      <c r="V74" s="32">
        <f t="shared" si="10"/>
        <v>600</v>
      </c>
      <c r="W74" s="32">
        <f t="shared" si="14"/>
        <v>240</v>
      </c>
      <c r="X74" s="110">
        <v>23.5</v>
      </c>
      <c r="Y74" s="160"/>
      <c r="Z74" s="33">
        <f t="shared" si="23"/>
        <v>12690</v>
      </c>
      <c r="AA74" s="33">
        <f t="shared" si="24"/>
        <v>5076</v>
      </c>
      <c r="AB74" s="33">
        <f t="shared" si="25"/>
        <v>564</v>
      </c>
      <c r="AC74" s="33">
        <f t="shared" si="26"/>
        <v>225.60000000000002</v>
      </c>
      <c r="AD74" s="33">
        <f t="shared" si="27"/>
        <v>846</v>
      </c>
      <c r="AE74" s="33">
        <f t="shared" si="28"/>
        <v>338.40000000000003</v>
      </c>
      <c r="AF74" s="33">
        <f t="shared" si="29"/>
        <v>14100</v>
      </c>
      <c r="AG74" s="33">
        <f t="shared" si="30"/>
        <v>5640</v>
      </c>
    </row>
    <row r="75" spans="1:35" ht="10" customHeight="1">
      <c r="A75" s="47">
        <v>72</v>
      </c>
      <c r="B75" s="126" t="s">
        <v>178</v>
      </c>
      <c r="C75" s="48" t="s">
        <v>0</v>
      </c>
      <c r="D75" s="120" t="s">
        <v>25</v>
      </c>
      <c r="E75" s="48" t="s">
        <v>48</v>
      </c>
      <c r="F75" s="48" t="s">
        <v>3</v>
      </c>
      <c r="G75" s="199" t="str">
        <f>IF(H75="","",IF(ISNUMBER(SEARCH(" ",H75)),LEFT(H75,1)&amp;MID(H75,SEARCH(" ",H75)+1,1)&amp;IFERROR(MID(H75,SEARCH(" ",H75,SEARCH(" ",H75)+1)+1,1),""),LEFT(H75,3)))&amp;IF(I75="","","-"&amp;IF(ISNUMBER(SEARCH(" ",I75)),LEFT(I75,1)&amp;MID(I75,SEARCH(" ",I75)+1,1)&amp;IFERROR(MID(I75,SEARCH(" ",I75,SEARCH(" ",I75)+1)+1,1),""),LEFT(I75,3)))&amp;IF(D75="","","-"&amp;D75)&amp;"-"&amp;TEXT(COUNTIF($H$4:H75,H75),"000")</f>
        <v>FYV-VEE-806-063</v>
      </c>
      <c r="H75" s="48" t="s">
        <v>607</v>
      </c>
      <c r="I75" s="120" t="s">
        <v>660</v>
      </c>
      <c r="J75" s="49" t="s">
        <v>412</v>
      </c>
      <c r="K75" s="50" t="s">
        <v>523</v>
      </c>
      <c r="L75" s="51" t="s">
        <v>141</v>
      </c>
      <c r="M75" s="51" t="s">
        <v>174</v>
      </c>
      <c r="N75" s="51" t="s">
        <v>141</v>
      </c>
      <c r="O75" s="51" t="s">
        <v>524</v>
      </c>
      <c r="P75" s="39">
        <v>12</v>
      </c>
      <c r="Q75" s="40">
        <f t="shared" si="11"/>
        <v>4.8000000000000007</v>
      </c>
      <c r="R75" s="23">
        <v>12</v>
      </c>
      <c r="S75" s="158">
        <f t="shared" si="12"/>
        <v>4.8000000000000007</v>
      </c>
      <c r="T75" s="24">
        <v>0</v>
      </c>
      <c r="U75" s="25">
        <f t="shared" si="13"/>
        <v>0</v>
      </c>
      <c r="V75" s="53">
        <f t="shared" si="10"/>
        <v>24</v>
      </c>
      <c r="W75" s="53">
        <f t="shared" si="14"/>
        <v>9.6000000000000014</v>
      </c>
      <c r="X75" s="112">
        <v>18.3</v>
      </c>
      <c r="Y75" s="160"/>
      <c r="Z75" s="54">
        <f t="shared" si="23"/>
        <v>219.60000000000002</v>
      </c>
      <c r="AA75" s="54">
        <f t="shared" si="24"/>
        <v>87.840000000000018</v>
      </c>
      <c r="AB75" s="54">
        <f t="shared" si="25"/>
        <v>219.60000000000002</v>
      </c>
      <c r="AC75" s="54">
        <f t="shared" si="26"/>
        <v>87.840000000000018</v>
      </c>
      <c r="AD75" s="54">
        <f t="shared" si="27"/>
        <v>0</v>
      </c>
      <c r="AE75" s="54">
        <f t="shared" si="28"/>
        <v>0</v>
      </c>
      <c r="AF75" s="54">
        <f t="shared" si="29"/>
        <v>439.20000000000005</v>
      </c>
      <c r="AG75" s="54">
        <f t="shared" si="30"/>
        <v>175.68000000000004</v>
      </c>
    </row>
    <row r="76" spans="1:35" ht="10" customHeight="1">
      <c r="A76" s="47">
        <v>73</v>
      </c>
      <c r="B76" s="124" t="s">
        <v>178</v>
      </c>
      <c r="C76" s="28" t="s">
        <v>0</v>
      </c>
      <c r="D76" s="120" t="s">
        <v>25</v>
      </c>
      <c r="E76" s="28" t="s">
        <v>54</v>
      </c>
      <c r="F76" s="28" t="s">
        <v>3</v>
      </c>
      <c r="G76" s="199" t="str">
        <f>IF(H76="","",IF(ISNUMBER(SEARCH(" ",H76)),LEFT(H76,1)&amp;MID(H76,SEARCH(" ",H76)+1,1)&amp;IFERROR(MID(H76,SEARCH(" ",H76,SEARCH(" ",H76)+1)+1,1),""),LEFT(H76,3)))&amp;IF(I76="","","-"&amp;IF(ISNUMBER(SEARCH(" ",I76)),LEFT(I76,1)&amp;MID(I76,SEARCH(" ",I76)+1,1)&amp;IFERROR(MID(I76,SEARCH(" ",I76,SEARCH(" ",I76)+1)+1,1),""),LEFT(I76,3)))&amp;IF(D76="","","-"&amp;D76)&amp;"-"&amp;TEXT(COUNTIF($H$4:H76,H76),"000")</f>
        <v>FYV-VEE-806-064</v>
      </c>
      <c r="H76" s="48" t="s">
        <v>607</v>
      </c>
      <c r="I76" s="120" t="s">
        <v>660</v>
      </c>
      <c r="J76" s="29" t="s">
        <v>413</v>
      </c>
      <c r="K76" s="30" t="s">
        <v>288</v>
      </c>
      <c r="L76" s="31" t="s">
        <v>141</v>
      </c>
      <c r="M76" s="31" t="s">
        <v>174</v>
      </c>
      <c r="N76" s="31" t="s">
        <v>141</v>
      </c>
      <c r="O76" s="31" t="s">
        <v>524</v>
      </c>
      <c r="P76" s="39">
        <v>12</v>
      </c>
      <c r="Q76" s="40">
        <f t="shared" si="11"/>
        <v>4.8000000000000007</v>
      </c>
      <c r="R76" s="23">
        <v>12</v>
      </c>
      <c r="S76" s="158">
        <f t="shared" si="12"/>
        <v>4.8000000000000007</v>
      </c>
      <c r="T76" s="24">
        <v>24</v>
      </c>
      <c r="U76" s="25">
        <f t="shared" si="13"/>
        <v>9.6000000000000014</v>
      </c>
      <c r="V76" s="32">
        <f t="shared" si="10"/>
        <v>48</v>
      </c>
      <c r="W76" s="32">
        <f t="shared" si="14"/>
        <v>19.200000000000003</v>
      </c>
      <c r="X76" s="110">
        <v>19</v>
      </c>
      <c r="Y76" s="160"/>
      <c r="Z76" s="33">
        <f t="shared" si="23"/>
        <v>228</v>
      </c>
      <c r="AA76" s="33">
        <f t="shared" si="24"/>
        <v>91.200000000000017</v>
      </c>
      <c r="AB76" s="33">
        <f t="shared" si="25"/>
        <v>228</v>
      </c>
      <c r="AC76" s="33">
        <f t="shared" si="26"/>
        <v>91.200000000000017</v>
      </c>
      <c r="AD76" s="33">
        <f t="shared" si="27"/>
        <v>456</v>
      </c>
      <c r="AE76" s="33">
        <f t="shared" si="28"/>
        <v>182.40000000000003</v>
      </c>
      <c r="AF76" s="33">
        <f t="shared" si="29"/>
        <v>912</v>
      </c>
      <c r="AG76" s="33">
        <f t="shared" si="30"/>
        <v>364.80000000000007</v>
      </c>
    </row>
    <row r="77" spans="1:35" ht="10" customHeight="1">
      <c r="A77" s="47">
        <v>74</v>
      </c>
      <c r="B77" s="126" t="s">
        <v>178</v>
      </c>
      <c r="C77" s="48" t="s">
        <v>0</v>
      </c>
      <c r="D77" s="48" t="s">
        <v>28</v>
      </c>
      <c r="E77" s="48" t="s">
        <v>130</v>
      </c>
      <c r="F77" s="48" t="s">
        <v>3</v>
      </c>
      <c r="G77" s="199" t="str">
        <f>IF(H77="","",IF(ISNUMBER(SEARCH(" ",H77)),LEFT(H77,1)&amp;MID(H77,SEARCH(" ",H77)+1,1)&amp;IFERROR(MID(H77,SEARCH(" ",H77,SEARCH(" ",H77)+1)+1,1),""),LEFT(H77,3)))&amp;IF(I77="","","-"&amp;IF(ISNUMBER(SEARCH(" ",I77)),LEFT(I77,1)&amp;MID(I77,SEARCH(" ",I77)+1,1)&amp;IFERROR(MID(I77,SEARCH(" ",I77,SEARCH(" ",I77)+1)+1,1),""),LEFT(I77,3)))&amp;IF(D77="","","-"&amp;D77)&amp;"-"&amp;TEXT(COUNTIF($H$4:H77,H77),"000")</f>
        <v>FYV-VEE-302-065</v>
      </c>
      <c r="H77" s="48" t="s">
        <v>607</v>
      </c>
      <c r="I77" s="48" t="s">
        <v>660</v>
      </c>
      <c r="J77" s="49" t="s">
        <v>414</v>
      </c>
      <c r="K77" s="50" t="s">
        <v>331</v>
      </c>
      <c r="L77" s="51" t="s">
        <v>141</v>
      </c>
      <c r="M77" s="51" t="s">
        <v>174</v>
      </c>
      <c r="N77" s="51" t="s">
        <v>141</v>
      </c>
      <c r="O77" s="51" t="s">
        <v>524</v>
      </c>
      <c r="P77" s="39">
        <v>8400</v>
      </c>
      <c r="Q77" s="40">
        <f t="shared" si="11"/>
        <v>3360</v>
      </c>
      <c r="R77" s="23">
        <v>2280</v>
      </c>
      <c r="S77" s="158">
        <f t="shared" si="12"/>
        <v>912</v>
      </c>
      <c r="T77" s="24">
        <v>3600</v>
      </c>
      <c r="U77" s="25">
        <f t="shared" si="13"/>
        <v>1440</v>
      </c>
      <c r="V77" s="53">
        <f t="shared" ref="V77:V79" si="31">P77+R77+T77</f>
        <v>14280</v>
      </c>
      <c r="W77" s="53">
        <f t="shared" si="14"/>
        <v>5712</v>
      </c>
      <c r="X77" s="112">
        <v>29.2</v>
      </c>
      <c r="Y77" s="160"/>
      <c r="Z77" s="54">
        <f t="shared" si="23"/>
        <v>245280</v>
      </c>
      <c r="AA77" s="54">
        <f t="shared" si="24"/>
        <v>98112</v>
      </c>
      <c r="AB77" s="54">
        <f t="shared" si="25"/>
        <v>66576</v>
      </c>
      <c r="AC77" s="54">
        <f t="shared" si="26"/>
        <v>26630.399999999998</v>
      </c>
      <c r="AD77" s="54">
        <f t="shared" si="27"/>
        <v>105120</v>
      </c>
      <c r="AE77" s="54">
        <f t="shared" si="28"/>
        <v>42048</v>
      </c>
      <c r="AF77" s="54">
        <f t="shared" si="29"/>
        <v>416976</v>
      </c>
      <c r="AG77" s="54">
        <f t="shared" si="30"/>
        <v>166790.39999999999</v>
      </c>
    </row>
    <row r="78" spans="1:35" ht="10" customHeight="1">
      <c r="A78" s="47">
        <v>75</v>
      </c>
      <c r="B78" s="124" t="s">
        <v>178</v>
      </c>
      <c r="C78" s="28" t="s">
        <v>0</v>
      </c>
      <c r="D78" s="28" t="s">
        <v>28</v>
      </c>
      <c r="E78" s="28" t="s">
        <v>131</v>
      </c>
      <c r="F78" s="28" t="s">
        <v>3</v>
      </c>
      <c r="G78" s="199" t="str">
        <f>IF(H78="","",IF(ISNUMBER(SEARCH(" ",H78)),LEFT(H78,1)&amp;MID(H78,SEARCH(" ",H78)+1,1)&amp;IFERROR(MID(H78,SEARCH(" ",H78,SEARCH(" ",H78)+1)+1,1),""),LEFT(H78,3)))&amp;IF(I78="","","-"&amp;IF(ISNUMBER(SEARCH(" ",I78)),LEFT(I78,1)&amp;MID(I78,SEARCH(" ",I78)+1,1)&amp;IFERROR(MID(I78,SEARCH(" ",I78,SEARCH(" ",I78)+1)+1,1),""),LEFT(I78,3)))&amp;IF(D78="","","-"&amp;D78)&amp;"-"&amp;TEXT(COUNTIF($H$4:H78,H78),"000")</f>
        <v>FYV-VEE-302-066</v>
      </c>
      <c r="H78" s="48" t="s">
        <v>607</v>
      </c>
      <c r="I78" s="28" t="s">
        <v>660</v>
      </c>
      <c r="J78" s="29" t="s">
        <v>415</v>
      </c>
      <c r="K78" s="30" t="s">
        <v>287</v>
      </c>
      <c r="L78" s="31" t="s">
        <v>141</v>
      </c>
      <c r="M78" s="31" t="s">
        <v>174</v>
      </c>
      <c r="N78" s="31" t="s">
        <v>141</v>
      </c>
      <c r="O78" s="31" t="s">
        <v>524</v>
      </c>
      <c r="P78" s="39">
        <v>0</v>
      </c>
      <c r="Q78" s="40">
        <f>P78*0.4</f>
        <v>0</v>
      </c>
      <c r="R78" s="23">
        <v>120</v>
      </c>
      <c r="S78" s="158">
        <f t="shared" si="12"/>
        <v>48</v>
      </c>
      <c r="T78" s="24">
        <v>48</v>
      </c>
      <c r="U78" s="25">
        <f t="shared" si="13"/>
        <v>19.200000000000003</v>
      </c>
      <c r="V78" s="32">
        <f t="shared" si="31"/>
        <v>168</v>
      </c>
      <c r="W78" s="32">
        <f t="shared" si="14"/>
        <v>67.2</v>
      </c>
      <c r="X78" s="110">
        <v>10.7</v>
      </c>
      <c r="Y78" s="160"/>
      <c r="Z78" s="33">
        <f t="shared" si="23"/>
        <v>0</v>
      </c>
      <c r="AA78" s="33">
        <f t="shared" si="24"/>
        <v>0</v>
      </c>
      <c r="AB78" s="33">
        <f t="shared" si="25"/>
        <v>1284</v>
      </c>
      <c r="AC78" s="33">
        <f t="shared" si="26"/>
        <v>513.59999999999991</v>
      </c>
      <c r="AD78" s="33">
        <f t="shared" si="27"/>
        <v>513.59999999999991</v>
      </c>
      <c r="AE78" s="33">
        <f t="shared" si="28"/>
        <v>205.44000000000003</v>
      </c>
      <c r="AF78" s="33">
        <f t="shared" si="29"/>
        <v>1797.6</v>
      </c>
      <c r="AG78" s="33">
        <f t="shared" si="30"/>
        <v>719.04</v>
      </c>
    </row>
    <row r="79" spans="1:35" ht="10" customHeight="1">
      <c r="A79" s="47">
        <v>76</v>
      </c>
      <c r="B79" s="126" t="s">
        <v>178</v>
      </c>
      <c r="C79" s="48" t="s">
        <v>0</v>
      </c>
      <c r="D79" s="48" t="s">
        <v>28</v>
      </c>
      <c r="E79" s="48" t="s">
        <v>132</v>
      </c>
      <c r="F79" s="48" t="s">
        <v>3</v>
      </c>
      <c r="G79" s="199" t="str">
        <f>IF(H79="","",IF(ISNUMBER(SEARCH(" ",H79)),LEFT(H79,1)&amp;MID(H79,SEARCH(" ",H79)+1,1)&amp;IFERROR(MID(H79,SEARCH(" ",H79,SEARCH(" ",H79)+1)+1,1),""),LEFT(H79,3)))&amp;IF(I79="","","-"&amp;IF(ISNUMBER(SEARCH(" ",I79)),LEFT(I79,1)&amp;MID(I79,SEARCH(" ",I79)+1,1)&amp;IFERROR(MID(I79,SEARCH(" ",I79,SEARCH(" ",I79)+1)+1,1),""),LEFT(I79,3)))&amp;IF(D79="","","-"&amp;D79)&amp;"-"&amp;TEXT(COUNTIF($H$4:H79,H79),"000")</f>
        <v>FYV-VEE-302-067</v>
      </c>
      <c r="H79" s="48" t="s">
        <v>607</v>
      </c>
      <c r="I79" s="48" t="s">
        <v>660</v>
      </c>
      <c r="J79" s="49" t="s">
        <v>416</v>
      </c>
      <c r="K79" s="50" t="s">
        <v>332</v>
      </c>
      <c r="L79" s="51" t="s">
        <v>141</v>
      </c>
      <c r="M79" s="51" t="s">
        <v>174</v>
      </c>
      <c r="N79" s="51" t="s">
        <v>141</v>
      </c>
      <c r="O79" s="51" t="s">
        <v>524</v>
      </c>
      <c r="P79" s="39">
        <v>21600</v>
      </c>
      <c r="Q79" s="40">
        <f>P79*0.4</f>
        <v>8640</v>
      </c>
      <c r="R79" s="23">
        <v>4200</v>
      </c>
      <c r="S79" s="158">
        <f>R79*0.4</f>
        <v>1680</v>
      </c>
      <c r="T79" s="24">
        <v>3000</v>
      </c>
      <c r="U79" s="25">
        <f>(T79*0.4)</f>
        <v>1200</v>
      </c>
      <c r="V79" s="53">
        <f t="shared" si="31"/>
        <v>28800</v>
      </c>
      <c r="W79" s="53">
        <f>V79*0.4</f>
        <v>11520</v>
      </c>
      <c r="X79" s="112">
        <v>17.5</v>
      </c>
      <c r="Y79" s="160"/>
      <c r="Z79" s="54">
        <f t="shared" si="23"/>
        <v>378000</v>
      </c>
      <c r="AA79" s="54">
        <f t="shared" si="24"/>
        <v>151200</v>
      </c>
      <c r="AB79" s="54">
        <f t="shared" si="25"/>
        <v>73500</v>
      </c>
      <c r="AC79" s="54">
        <f t="shared" si="26"/>
        <v>29400</v>
      </c>
      <c r="AD79" s="54">
        <f t="shared" si="27"/>
        <v>52500</v>
      </c>
      <c r="AE79" s="54">
        <f t="shared" si="28"/>
        <v>21000</v>
      </c>
      <c r="AF79" s="54">
        <f t="shared" si="29"/>
        <v>504000</v>
      </c>
      <c r="AG79" s="54">
        <f t="shared" si="30"/>
        <v>201600</v>
      </c>
      <c r="AI79" s="1">
        <v>123541</v>
      </c>
    </row>
    <row r="80" spans="1:35" ht="10" customHeight="1">
      <c r="A80" s="60">
        <v>77</v>
      </c>
      <c r="B80" s="127" t="s">
        <v>178</v>
      </c>
      <c r="C80" s="61" t="s">
        <v>0</v>
      </c>
      <c r="D80" s="61" t="s">
        <v>12</v>
      </c>
      <c r="E80" s="61" t="s">
        <v>7</v>
      </c>
      <c r="F80" s="61" t="s">
        <v>3</v>
      </c>
      <c r="G80" s="199" t="str">
        <f>IF(H80="","",IF(ISNUMBER(SEARCH(" ",H80)),LEFT(H80,1)&amp;MID(H80,SEARCH(" ",H80)+1,1)&amp;IFERROR(MID(H80,SEARCH(" ",H80,SEARCH(" ",H80)+1)+1,1),""),LEFT(H80,3)))&amp;IF(I80="","","-"&amp;IF(ISNUMBER(SEARCH(" ",I80)),LEFT(I80,1)&amp;MID(I80,SEARCH(" ",I80)+1,1)&amp;IFERROR(MID(I80,SEARCH(" ",I80,SEARCH(" ",I80)+1)+1,1),""),LEFT(I80,3)))&amp;IF(D80="","","-"&amp;D80)&amp;"-"&amp;TEXT(COUNTIF($H$4:H80,H80),"000")</f>
        <v>ABA-CER-401-001</v>
      </c>
      <c r="H80" s="61" t="s">
        <v>611</v>
      </c>
      <c r="I80" s="120" t="s">
        <v>619</v>
      </c>
      <c r="J80" s="62" t="s">
        <v>417</v>
      </c>
      <c r="K80" s="63" t="s">
        <v>212</v>
      </c>
      <c r="L80" s="64" t="s">
        <v>141</v>
      </c>
      <c r="M80" s="64" t="s">
        <v>142</v>
      </c>
      <c r="N80" s="64" t="s">
        <v>141</v>
      </c>
      <c r="O80" s="64" t="s">
        <v>516</v>
      </c>
      <c r="P80" s="39">
        <v>0</v>
      </c>
      <c r="Q80" s="40">
        <v>0</v>
      </c>
      <c r="R80" s="23">
        <v>0</v>
      </c>
      <c r="S80" s="158">
        <f t="shared" ref="S80:S101" si="32">R80*0.4</f>
        <v>0</v>
      </c>
      <c r="T80" s="65">
        <v>19.5</v>
      </c>
      <c r="U80" s="66">
        <v>8</v>
      </c>
      <c r="V80" s="67">
        <f t="shared" ref="V80:V101" si="33">P80+R80+T80</f>
        <v>19.5</v>
      </c>
      <c r="W80" s="67">
        <f>V80*0.4</f>
        <v>7.8000000000000007</v>
      </c>
      <c r="X80" s="113">
        <v>59.5</v>
      </c>
      <c r="Y80" s="160"/>
      <c r="Z80" s="68">
        <f t="shared" si="23"/>
        <v>0</v>
      </c>
      <c r="AA80" s="68">
        <f t="shared" si="24"/>
        <v>0</v>
      </c>
      <c r="AB80" s="68">
        <f t="shared" si="25"/>
        <v>0</v>
      </c>
      <c r="AC80" s="68">
        <f t="shared" si="26"/>
        <v>0</v>
      </c>
      <c r="AD80" s="68">
        <f t="shared" si="27"/>
        <v>1160.25</v>
      </c>
      <c r="AE80" s="68">
        <f t="shared" si="28"/>
        <v>476</v>
      </c>
      <c r="AF80" s="68">
        <f t="shared" si="29"/>
        <v>1160.25</v>
      </c>
      <c r="AG80" s="68">
        <f t="shared" si="30"/>
        <v>464.1</v>
      </c>
      <c r="AI80" s="1" t="e">
        <f>#REF!/20</f>
        <v>#REF!</v>
      </c>
    </row>
    <row r="81" spans="1:33" ht="10" customHeight="1">
      <c r="A81" s="60">
        <v>78</v>
      </c>
      <c r="B81" s="124" t="s">
        <v>178</v>
      </c>
      <c r="C81" s="28" t="s">
        <v>0</v>
      </c>
      <c r="D81" s="28" t="s">
        <v>13</v>
      </c>
      <c r="E81" s="28" t="s">
        <v>10</v>
      </c>
      <c r="F81" s="28" t="s">
        <v>3</v>
      </c>
      <c r="G81" s="199" t="str">
        <f>IF(H81="","",IF(ISNUMBER(SEARCH(" ",H81)),LEFT(H81,1)&amp;MID(H81,SEARCH(" ",H81)+1,1)&amp;IFERROR(MID(H81,SEARCH(" ",H81,SEARCH(" ",H81)+1)+1,1),""),LEFT(H81,3)))&amp;IF(I81="","","-"&amp;IF(ISNUMBER(SEARCH(" ",I81)),LEFT(I81,1)&amp;MID(I81,SEARCH(" ",I81)+1,1)&amp;IFERROR(MID(I81,SEARCH(" ",I81,SEARCH(" ",I81)+1)+1,1),""),LEFT(I81,3)))&amp;IF(D81="","","-"&amp;D81)&amp;"-"&amp;TEXT(COUNTIF($H$4:H81,H81),"000")</f>
        <v>ABA-CER-402-002</v>
      </c>
      <c r="H81" s="61" t="s">
        <v>611</v>
      </c>
      <c r="I81" s="28" t="s">
        <v>619</v>
      </c>
      <c r="J81" s="29" t="s">
        <v>418</v>
      </c>
      <c r="K81" s="30" t="s">
        <v>213</v>
      </c>
      <c r="L81" s="31" t="s">
        <v>135</v>
      </c>
      <c r="M81" s="31" t="s">
        <v>142</v>
      </c>
      <c r="N81" s="31" t="s">
        <v>141</v>
      </c>
      <c r="O81" s="31" t="s">
        <v>551</v>
      </c>
      <c r="P81" s="39">
        <v>4050</v>
      </c>
      <c r="Q81" s="40">
        <f>(P81*0.4)</f>
        <v>1620</v>
      </c>
      <c r="R81" s="23">
        <v>1200</v>
      </c>
      <c r="S81" s="158">
        <f t="shared" si="32"/>
        <v>480</v>
      </c>
      <c r="T81" s="69">
        <v>1020</v>
      </c>
      <c r="U81" s="66">
        <f t="shared" ref="U81:U101" si="34">(T81*0.4)</f>
        <v>408</v>
      </c>
      <c r="V81" s="32">
        <f t="shared" si="33"/>
        <v>6270</v>
      </c>
      <c r="W81" s="32">
        <f t="shared" ref="W81:W101" si="35">V81*0.4</f>
        <v>2508</v>
      </c>
      <c r="X81" s="110">
        <v>32</v>
      </c>
      <c r="Y81" s="160"/>
      <c r="Z81" s="33">
        <f t="shared" si="23"/>
        <v>129600</v>
      </c>
      <c r="AA81" s="33">
        <f t="shared" si="24"/>
        <v>51840</v>
      </c>
      <c r="AB81" s="33">
        <f t="shared" si="25"/>
        <v>38400</v>
      </c>
      <c r="AC81" s="33">
        <f t="shared" si="26"/>
        <v>15360</v>
      </c>
      <c r="AD81" s="33">
        <f t="shared" si="27"/>
        <v>32640</v>
      </c>
      <c r="AE81" s="33">
        <f t="shared" si="28"/>
        <v>13056</v>
      </c>
      <c r="AF81" s="33">
        <f t="shared" si="29"/>
        <v>200640</v>
      </c>
      <c r="AG81" s="33">
        <f t="shared" si="30"/>
        <v>80256</v>
      </c>
    </row>
    <row r="82" spans="1:33" ht="10" customHeight="1">
      <c r="A82" s="60">
        <v>79</v>
      </c>
      <c r="B82" s="127" t="s">
        <v>178</v>
      </c>
      <c r="C82" s="61" t="s">
        <v>0</v>
      </c>
      <c r="D82" s="61" t="s">
        <v>19</v>
      </c>
      <c r="E82" s="61" t="s">
        <v>10</v>
      </c>
      <c r="F82" s="61" t="s">
        <v>3</v>
      </c>
      <c r="G82" s="199" t="str">
        <f>IF(H82="","",IF(ISNUMBER(SEARCH(" ",H82)),LEFT(H82,1)&amp;MID(H82,SEARCH(" ",H82)+1,1)&amp;IFERROR(MID(H82,SEARCH(" ",H82,SEARCH(" ",H82)+1)+1,1),""),LEFT(H82,3)))&amp;IF(I82="","","-"&amp;IF(ISNUMBER(SEARCH(" ",I82)),LEFT(I82,1)&amp;MID(I82,SEARCH(" ",I82)+1,1)&amp;IFERROR(MID(I82,SEARCH(" ",I82,SEARCH(" ",I82)+1)+1,1),""),LEFT(I82,3)))&amp;IF(D82="","","-"&amp;D82)&amp;"-"&amp;TEXT(COUNTIF($H$4:H82,H82),"000")</f>
        <v>ABA-CER-403-003</v>
      </c>
      <c r="H82" s="61" t="s">
        <v>611</v>
      </c>
      <c r="I82" s="61" t="s">
        <v>619</v>
      </c>
      <c r="J82" s="62" t="s">
        <v>419</v>
      </c>
      <c r="K82" s="63" t="s">
        <v>214</v>
      </c>
      <c r="L82" s="64" t="s">
        <v>135</v>
      </c>
      <c r="M82" s="64" t="s">
        <v>142</v>
      </c>
      <c r="N82" s="64" t="s">
        <v>141</v>
      </c>
      <c r="O82" s="64" t="s">
        <v>552</v>
      </c>
      <c r="P82" s="39">
        <v>630</v>
      </c>
      <c r="Q82" s="40">
        <f t="shared" ref="Q82:Q101" si="36">(P82*0.4)</f>
        <v>252</v>
      </c>
      <c r="R82" s="23">
        <v>240</v>
      </c>
      <c r="S82" s="158">
        <f t="shared" si="32"/>
        <v>96</v>
      </c>
      <c r="T82" s="69">
        <v>120</v>
      </c>
      <c r="U82" s="66">
        <f t="shared" si="34"/>
        <v>48</v>
      </c>
      <c r="V82" s="67">
        <f t="shared" si="33"/>
        <v>990</v>
      </c>
      <c r="W82" s="67">
        <f t="shared" si="35"/>
        <v>396</v>
      </c>
      <c r="X82" s="113">
        <v>36.5</v>
      </c>
      <c r="Y82" s="160"/>
      <c r="Z82" s="68">
        <f t="shared" si="23"/>
        <v>22995</v>
      </c>
      <c r="AA82" s="68">
        <f t="shared" si="24"/>
        <v>9198</v>
      </c>
      <c r="AB82" s="68">
        <f t="shared" si="25"/>
        <v>8760</v>
      </c>
      <c r="AC82" s="68">
        <f t="shared" si="26"/>
        <v>3504</v>
      </c>
      <c r="AD82" s="68">
        <f t="shared" si="27"/>
        <v>4380</v>
      </c>
      <c r="AE82" s="68">
        <f t="shared" si="28"/>
        <v>1752</v>
      </c>
      <c r="AF82" s="68">
        <f t="shared" si="29"/>
        <v>36135</v>
      </c>
      <c r="AG82" s="68">
        <f t="shared" si="30"/>
        <v>14454</v>
      </c>
    </row>
    <row r="83" spans="1:33" ht="10" customHeight="1">
      <c r="A83" s="60">
        <v>80</v>
      </c>
      <c r="B83" s="124" t="s">
        <v>178</v>
      </c>
      <c r="C83" s="28" t="s">
        <v>0</v>
      </c>
      <c r="D83" s="28" t="s">
        <v>13</v>
      </c>
      <c r="E83" s="28" t="s">
        <v>24</v>
      </c>
      <c r="F83" s="28" t="s">
        <v>3</v>
      </c>
      <c r="G83" s="199" t="str">
        <f>IF(H83="","",IF(ISNUMBER(SEARCH(" ",H83)),LEFT(H83,1)&amp;MID(H83,SEARCH(" ",H83)+1,1)&amp;IFERROR(MID(H83,SEARCH(" ",H83,SEARCH(" ",H83)+1)+1,1),""),LEFT(H83,3)))&amp;IF(I83="","","-"&amp;IF(ISNUMBER(SEARCH(" ",I83)),LEFT(I83,1)&amp;MID(I83,SEARCH(" ",I83)+1,1)&amp;IFERROR(MID(I83,SEARCH(" ",I83,SEARCH(" ",I83)+1)+1,1),""),LEFT(I83,3)))&amp;IF(D83="","","-"&amp;D83)&amp;"-"&amp;TEXT(COUNTIF($H$4:H83,H83),"000")</f>
        <v>ABA-CER-402-004</v>
      </c>
      <c r="H83" s="61" t="s">
        <v>611</v>
      </c>
      <c r="I83" s="28" t="s">
        <v>619</v>
      </c>
      <c r="J83" s="29" t="s">
        <v>620</v>
      </c>
      <c r="K83" s="30" t="s">
        <v>215</v>
      </c>
      <c r="L83" s="31" t="s">
        <v>148</v>
      </c>
      <c r="M83" s="31" t="s">
        <v>149</v>
      </c>
      <c r="N83" s="31" t="s">
        <v>143</v>
      </c>
      <c r="O83" s="31" t="s">
        <v>553</v>
      </c>
      <c r="P83" s="39">
        <v>180</v>
      </c>
      <c r="Q83" s="40">
        <f t="shared" si="36"/>
        <v>72</v>
      </c>
      <c r="R83" s="23">
        <v>0</v>
      </c>
      <c r="S83" s="158">
        <f t="shared" si="32"/>
        <v>0</v>
      </c>
      <c r="T83" s="69">
        <v>144</v>
      </c>
      <c r="U83" s="66">
        <v>58</v>
      </c>
      <c r="V83" s="32">
        <f t="shared" si="33"/>
        <v>324</v>
      </c>
      <c r="W83" s="32">
        <f t="shared" si="35"/>
        <v>129.6</v>
      </c>
      <c r="X83" s="110">
        <v>67</v>
      </c>
      <c r="Y83" s="160"/>
      <c r="Z83" s="33">
        <f t="shared" si="23"/>
        <v>12060</v>
      </c>
      <c r="AA83" s="33">
        <f t="shared" si="24"/>
        <v>4824</v>
      </c>
      <c r="AB83" s="33">
        <f t="shared" si="25"/>
        <v>0</v>
      </c>
      <c r="AC83" s="33">
        <f t="shared" si="26"/>
        <v>0</v>
      </c>
      <c r="AD83" s="33">
        <f t="shared" si="27"/>
        <v>9648</v>
      </c>
      <c r="AE83" s="33">
        <f t="shared" si="28"/>
        <v>3886</v>
      </c>
      <c r="AF83" s="33">
        <f t="shared" si="29"/>
        <v>21708</v>
      </c>
      <c r="AG83" s="33">
        <f t="shared" si="30"/>
        <v>8683.1999999999989</v>
      </c>
    </row>
    <row r="84" spans="1:33" ht="10" customHeight="1">
      <c r="A84" s="60">
        <v>81</v>
      </c>
      <c r="B84" s="127" t="s">
        <v>178</v>
      </c>
      <c r="C84" s="61" t="s">
        <v>0</v>
      </c>
      <c r="D84" s="61" t="s">
        <v>19</v>
      </c>
      <c r="E84" s="61" t="s">
        <v>27</v>
      </c>
      <c r="F84" s="61" t="s">
        <v>3</v>
      </c>
      <c r="G84" s="199" t="str">
        <f>IF(H84="","",IF(ISNUMBER(SEARCH(" ",H84)),LEFT(H84,1)&amp;MID(H84,SEARCH(" ",H84)+1,1)&amp;IFERROR(MID(H84,SEARCH(" ",H84,SEARCH(" ",H84)+1)+1,1),""),LEFT(H84,3)))&amp;IF(I84="","","-"&amp;IF(ISNUMBER(SEARCH(" ",I84)),LEFT(I84,1)&amp;MID(I84,SEARCH(" ",I84)+1,1)&amp;IFERROR(MID(I84,SEARCH(" ",I84,SEARCH(" ",I84)+1)+1,1),""),LEFT(I84,3)))&amp;IF(D84="","","-"&amp;D84)&amp;"-"&amp;TEXT(COUNTIF($H$4:H84,H84),"000")</f>
        <v>ABA-CER-403-005</v>
      </c>
      <c r="H84" s="61" t="s">
        <v>611</v>
      </c>
      <c r="I84" s="61" t="s">
        <v>619</v>
      </c>
      <c r="J84" s="62" t="s">
        <v>621</v>
      </c>
      <c r="K84" s="63" t="s">
        <v>216</v>
      </c>
      <c r="L84" s="64" t="s">
        <v>148</v>
      </c>
      <c r="M84" s="64" t="s">
        <v>149</v>
      </c>
      <c r="N84" s="64" t="s">
        <v>143</v>
      </c>
      <c r="O84" s="64" t="s">
        <v>553</v>
      </c>
      <c r="P84" s="39">
        <v>360</v>
      </c>
      <c r="Q84" s="40">
        <f t="shared" si="36"/>
        <v>144</v>
      </c>
      <c r="R84" s="23">
        <v>0</v>
      </c>
      <c r="S84" s="158">
        <f t="shared" si="32"/>
        <v>0</v>
      </c>
      <c r="T84" s="69">
        <v>288</v>
      </c>
      <c r="U84" s="66">
        <v>115</v>
      </c>
      <c r="V84" s="67">
        <f t="shared" si="33"/>
        <v>648</v>
      </c>
      <c r="W84" s="67">
        <f t="shared" si="35"/>
        <v>259.2</v>
      </c>
      <c r="X84" s="113">
        <v>65</v>
      </c>
      <c r="Y84" s="160"/>
      <c r="Z84" s="68">
        <f t="shared" si="23"/>
        <v>23400</v>
      </c>
      <c r="AA84" s="68">
        <f t="shared" si="24"/>
        <v>9360</v>
      </c>
      <c r="AB84" s="68">
        <f t="shared" si="25"/>
        <v>0</v>
      </c>
      <c r="AC84" s="68">
        <f t="shared" si="26"/>
        <v>0</v>
      </c>
      <c r="AD84" s="68">
        <f t="shared" si="27"/>
        <v>18720</v>
      </c>
      <c r="AE84" s="68">
        <f t="shared" si="28"/>
        <v>7475</v>
      </c>
      <c r="AF84" s="68">
        <f t="shared" si="29"/>
        <v>42120</v>
      </c>
      <c r="AG84" s="68">
        <f t="shared" si="30"/>
        <v>16848</v>
      </c>
    </row>
    <row r="85" spans="1:33" ht="10" customHeight="1">
      <c r="A85" s="60">
        <v>82</v>
      </c>
      <c r="B85" s="124" t="s">
        <v>178</v>
      </c>
      <c r="C85" s="28" t="s">
        <v>0</v>
      </c>
      <c r="D85" s="28" t="s">
        <v>23</v>
      </c>
      <c r="E85" s="28" t="s">
        <v>48</v>
      </c>
      <c r="F85" s="28" t="s">
        <v>21</v>
      </c>
      <c r="G85" s="199" t="str">
        <f>IF(H85="","",IF(ISNUMBER(SEARCH(" ",H85)),LEFT(H85,1)&amp;MID(H85,SEARCH(" ",H85)+1,1)&amp;IFERROR(MID(H85,SEARCH(" ",H85,SEARCH(" ",H85)+1)+1,1),""),LEFT(H85,3)))&amp;IF(I85="","","-"&amp;IF(ISNUMBER(SEARCH(" ",I85)),LEFT(I85,1)&amp;MID(I85,SEARCH(" ",I85)+1,1)&amp;IFERROR(MID(I85,SEARCH(" ",I85,SEARCH(" ",I85)+1)+1,1),""),LEFT(I85,3)))&amp;IF(D85="","","-"&amp;D85)&amp;"-"&amp;TEXT(COUNTIF($H$4:H85,H85),"000")</f>
        <v>ABA-HYG-406-006</v>
      </c>
      <c r="H85" s="61" t="s">
        <v>611</v>
      </c>
      <c r="I85" s="28" t="s">
        <v>630</v>
      </c>
      <c r="J85" s="29" t="s">
        <v>420</v>
      </c>
      <c r="K85" s="30" t="s">
        <v>217</v>
      </c>
      <c r="L85" s="31" t="s">
        <v>145</v>
      </c>
      <c r="M85" s="31" t="s">
        <v>181</v>
      </c>
      <c r="N85" s="31" t="s">
        <v>145</v>
      </c>
      <c r="O85" s="31" t="s">
        <v>554</v>
      </c>
      <c r="P85" s="39">
        <v>0</v>
      </c>
      <c r="Q85" s="40">
        <f t="shared" si="36"/>
        <v>0</v>
      </c>
      <c r="R85" s="23">
        <v>0</v>
      </c>
      <c r="S85" s="158">
        <f t="shared" si="32"/>
        <v>0</v>
      </c>
      <c r="T85" s="69">
        <v>0</v>
      </c>
      <c r="U85" s="66">
        <f t="shared" si="34"/>
        <v>0</v>
      </c>
      <c r="V85" s="32">
        <f t="shared" si="33"/>
        <v>0</v>
      </c>
      <c r="W85" s="32">
        <f t="shared" si="35"/>
        <v>0</v>
      </c>
      <c r="X85" s="105">
        <v>89</v>
      </c>
      <c r="Y85" s="160"/>
      <c r="Z85" s="33">
        <f t="shared" si="23"/>
        <v>0</v>
      </c>
      <c r="AA85" s="33">
        <f t="shared" si="24"/>
        <v>0</v>
      </c>
      <c r="AB85" s="33">
        <f t="shared" si="25"/>
        <v>0</v>
      </c>
      <c r="AC85" s="33">
        <f t="shared" si="26"/>
        <v>0</v>
      </c>
      <c r="AD85" s="33">
        <f t="shared" si="27"/>
        <v>0</v>
      </c>
      <c r="AE85" s="33">
        <f t="shared" si="28"/>
        <v>0</v>
      </c>
      <c r="AF85" s="33">
        <f t="shared" si="29"/>
        <v>0</v>
      </c>
      <c r="AG85" s="33">
        <f t="shared" si="30"/>
        <v>0</v>
      </c>
    </row>
    <row r="86" spans="1:33" ht="10" customHeight="1">
      <c r="A86" s="60">
        <v>83</v>
      </c>
      <c r="B86" s="127" t="s">
        <v>178</v>
      </c>
      <c r="C86" s="61" t="s">
        <v>0</v>
      </c>
      <c r="D86" s="61" t="s">
        <v>23</v>
      </c>
      <c r="E86" s="61" t="s">
        <v>54</v>
      </c>
      <c r="F86" s="61" t="s">
        <v>3</v>
      </c>
      <c r="G86" s="199" t="str">
        <f>IF(H86="","",IF(ISNUMBER(SEARCH(" ",H86)),LEFT(H86,1)&amp;MID(H86,SEARCH(" ",H86)+1,1)&amp;IFERROR(MID(H86,SEARCH(" ",H86,SEARCH(" ",H86)+1)+1,1),""),LEFT(H86,3)))&amp;IF(I86="","","-"&amp;IF(ISNUMBER(SEARCH(" ",I86)),LEFT(I86,1)&amp;MID(I86,SEARCH(" ",I86)+1,1)&amp;IFERROR(MID(I86,SEARCH(" ",I86,SEARCH(" ",I86)+1)+1,1),""),LEFT(I86,3)))&amp;IF(D86="","","-"&amp;D86)&amp;"-"&amp;TEXT(COUNTIF($H$4:H86,H86),"000")</f>
        <v>ABA-HYG-406-007</v>
      </c>
      <c r="H86" s="61" t="s">
        <v>611</v>
      </c>
      <c r="I86" s="61" t="s">
        <v>630</v>
      </c>
      <c r="J86" s="62" t="s">
        <v>421</v>
      </c>
      <c r="K86" s="63" t="s">
        <v>340</v>
      </c>
      <c r="L86" s="64" t="s">
        <v>145</v>
      </c>
      <c r="M86" s="64" t="s">
        <v>182</v>
      </c>
      <c r="N86" s="64" t="s">
        <v>145</v>
      </c>
      <c r="O86" s="64" t="s">
        <v>554</v>
      </c>
      <c r="P86" s="39">
        <v>3150</v>
      </c>
      <c r="Q86" s="40">
        <f t="shared" si="36"/>
        <v>1260</v>
      </c>
      <c r="R86" s="23">
        <v>420</v>
      </c>
      <c r="S86" s="158">
        <f t="shared" si="32"/>
        <v>168</v>
      </c>
      <c r="T86" s="69">
        <v>360</v>
      </c>
      <c r="U86" s="66">
        <f t="shared" si="34"/>
        <v>144</v>
      </c>
      <c r="V86" s="67">
        <f t="shared" si="33"/>
        <v>3930</v>
      </c>
      <c r="W86" s="67">
        <f t="shared" si="35"/>
        <v>1572</v>
      </c>
      <c r="X86" s="113">
        <v>73.2</v>
      </c>
      <c r="Y86" s="160"/>
      <c r="Z86" s="68">
        <f t="shared" si="23"/>
        <v>230580</v>
      </c>
      <c r="AA86" s="68">
        <f t="shared" si="24"/>
        <v>92232</v>
      </c>
      <c r="AB86" s="68">
        <f t="shared" si="25"/>
        <v>30744</v>
      </c>
      <c r="AC86" s="68">
        <f t="shared" si="26"/>
        <v>12297.6</v>
      </c>
      <c r="AD86" s="68">
        <f t="shared" si="27"/>
        <v>26352</v>
      </c>
      <c r="AE86" s="68">
        <f t="shared" si="28"/>
        <v>10540.800000000001</v>
      </c>
      <c r="AF86" s="68">
        <f t="shared" si="29"/>
        <v>287676</v>
      </c>
      <c r="AG86" s="68">
        <f t="shared" si="30"/>
        <v>115070.40000000001</v>
      </c>
    </row>
    <row r="87" spans="1:33" ht="10" customHeight="1">
      <c r="A87" s="60">
        <v>84</v>
      </c>
      <c r="B87" s="124" t="s">
        <v>178</v>
      </c>
      <c r="C87" s="28" t="s">
        <v>0</v>
      </c>
      <c r="D87" s="28" t="s">
        <v>23</v>
      </c>
      <c r="E87" s="28" t="s">
        <v>55</v>
      </c>
      <c r="F87" s="28" t="s">
        <v>3</v>
      </c>
      <c r="G87" s="199" t="str">
        <f>IF(H87="","",IF(ISNUMBER(SEARCH(" ",H87)),LEFT(H87,1)&amp;MID(H87,SEARCH(" ",H87)+1,1)&amp;IFERROR(MID(H87,SEARCH(" ",H87,SEARCH(" ",H87)+1)+1,1),""),LEFT(H87,3)))&amp;IF(I87="","","-"&amp;IF(ISNUMBER(SEARCH(" ",I87)),LEFT(I87,1)&amp;MID(I87,SEARCH(" ",I87)+1,1)&amp;IFERROR(MID(I87,SEARCH(" ",I87,SEARCH(" ",I87)+1)+1,1),""),LEFT(I87,3)))&amp;IF(D87="","","-"&amp;D87)&amp;"-"&amp;TEXT(COUNTIF($H$4:H87,H87),"000")</f>
        <v>ABA-HYG-406-008</v>
      </c>
      <c r="H87" s="61" t="s">
        <v>611</v>
      </c>
      <c r="I87" s="28" t="s">
        <v>630</v>
      </c>
      <c r="J87" s="29" t="s">
        <v>422</v>
      </c>
      <c r="K87" s="30" t="s">
        <v>218</v>
      </c>
      <c r="L87" s="31" t="s">
        <v>135</v>
      </c>
      <c r="M87" s="31" t="s">
        <v>156</v>
      </c>
      <c r="N87" s="31" t="s">
        <v>313</v>
      </c>
      <c r="O87" s="31" t="s">
        <v>554</v>
      </c>
      <c r="P87" s="39">
        <v>0</v>
      </c>
      <c r="Q87" s="40">
        <f t="shared" si="36"/>
        <v>0</v>
      </c>
      <c r="R87" s="23">
        <v>0</v>
      </c>
      <c r="S87" s="158">
        <f t="shared" si="32"/>
        <v>0</v>
      </c>
      <c r="T87" s="69">
        <v>0</v>
      </c>
      <c r="U87" s="66">
        <f t="shared" si="34"/>
        <v>0</v>
      </c>
      <c r="V87" s="32">
        <f t="shared" si="33"/>
        <v>0</v>
      </c>
      <c r="W87" s="32">
        <f t="shared" si="35"/>
        <v>0</v>
      </c>
      <c r="X87" s="105">
        <v>26.5</v>
      </c>
      <c r="Y87" s="160"/>
      <c r="Z87" s="33">
        <f t="shared" si="23"/>
        <v>0</v>
      </c>
      <c r="AA87" s="33">
        <f t="shared" si="24"/>
        <v>0</v>
      </c>
      <c r="AB87" s="33">
        <f t="shared" si="25"/>
        <v>0</v>
      </c>
      <c r="AC87" s="33">
        <f t="shared" si="26"/>
        <v>0</v>
      </c>
      <c r="AD87" s="33">
        <f t="shared" si="27"/>
        <v>0</v>
      </c>
      <c r="AE87" s="33">
        <f t="shared" si="28"/>
        <v>0</v>
      </c>
      <c r="AF87" s="33">
        <f t="shared" si="29"/>
        <v>0</v>
      </c>
      <c r="AG87" s="33">
        <f t="shared" si="30"/>
        <v>0</v>
      </c>
    </row>
    <row r="88" spans="1:33" ht="10" customHeight="1">
      <c r="A88" s="60">
        <v>85</v>
      </c>
      <c r="B88" s="127" t="s">
        <v>178</v>
      </c>
      <c r="C88" s="61" t="s">
        <v>0</v>
      </c>
      <c r="D88" s="61" t="s">
        <v>23</v>
      </c>
      <c r="E88" s="61" t="s">
        <v>56</v>
      </c>
      <c r="F88" s="61" t="s">
        <v>3</v>
      </c>
      <c r="G88" s="199" t="str">
        <f>IF(H88="","",IF(ISNUMBER(SEARCH(" ",H88)),LEFT(H88,1)&amp;MID(H88,SEARCH(" ",H88)+1,1)&amp;IFERROR(MID(H88,SEARCH(" ",H88,SEARCH(" ",H88)+1)+1,1),""),LEFT(H88,3)))&amp;IF(I88="","","-"&amp;IF(ISNUMBER(SEARCH(" ",I88)),LEFT(I88,1)&amp;MID(I88,SEARCH(" ",I88)+1,1)&amp;IFERROR(MID(I88,SEARCH(" ",I88,SEARCH(" ",I88)+1)+1,1),""),LEFT(I88,3)))&amp;IF(D88="","","-"&amp;D88)&amp;"-"&amp;TEXT(COUNTIF($H$4:H88,H88),"000")</f>
        <v>ABA-HYG-406-009</v>
      </c>
      <c r="H88" s="61" t="s">
        <v>611</v>
      </c>
      <c r="I88" s="61" t="s">
        <v>630</v>
      </c>
      <c r="J88" s="62" t="s">
        <v>423</v>
      </c>
      <c r="K88" s="63" t="s">
        <v>219</v>
      </c>
      <c r="L88" s="64" t="s">
        <v>145</v>
      </c>
      <c r="M88" s="64" t="s">
        <v>157</v>
      </c>
      <c r="N88" s="64" t="s">
        <v>145</v>
      </c>
      <c r="O88" s="64" t="s">
        <v>554</v>
      </c>
      <c r="P88" s="39">
        <v>1710</v>
      </c>
      <c r="Q88" s="40">
        <f t="shared" si="36"/>
        <v>684</v>
      </c>
      <c r="R88" s="23">
        <v>720</v>
      </c>
      <c r="S88" s="158">
        <f t="shared" si="32"/>
        <v>288</v>
      </c>
      <c r="T88" s="69">
        <v>240</v>
      </c>
      <c r="U88" s="66">
        <f t="shared" si="34"/>
        <v>96</v>
      </c>
      <c r="V88" s="67">
        <f t="shared" si="33"/>
        <v>2670</v>
      </c>
      <c r="W88" s="67">
        <f t="shared" si="35"/>
        <v>1068</v>
      </c>
      <c r="X88" s="113">
        <v>72</v>
      </c>
      <c r="Y88" s="160"/>
      <c r="Z88" s="68">
        <f t="shared" si="23"/>
        <v>123120</v>
      </c>
      <c r="AA88" s="68">
        <f t="shared" si="24"/>
        <v>49248</v>
      </c>
      <c r="AB88" s="68">
        <f t="shared" si="25"/>
        <v>51840</v>
      </c>
      <c r="AC88" s="68">
        <f t="shared" si="26"/>
        <v>20736</v>
      </c>
      <c r="AD88" s="68">
        <f t="shared" si="27"/>
        <v>17280</v>
      </c>
      <c r="AE88" s="68">
        <f t="shared" si="28"/>
        <v>6912</v>
      </c>
      <c r="AF88" s="68">
        <f t="shared" si="29"/>
        <v>192240</v>
      </c>
      <c r="AG88" s="68">
        <f t="shared" si="30"/>
        <v>76896</v>
      </c>
    </row>
    <row r="89" spans="1:33" ht="10" customHeight="1">
      <c r="A89" s="60">
        <v>86</v>
      </c>
      <c r="B89" s="124" t="s">
        <v>178</v>
      </c>
      <c r="C89" s="28" t="s">
        <v>0</v>
      </c>
      <c r="D89" s="28" t="s">
        <v>13</v>
      </c>
      <c r="E89" s="28" t="s">
        <v>27</v>
      </c>
      <c r="F89" s="28" t="s">
        <v>21</v>
      </c>
      <c r="G89" s="199" t="str">
        <f>IF(H89="","",IF(ISNUMBER(SEARCH(" ",H89)),LEFT(H89,1)&amp;MID(H89,SEARCH(" ",H89)+1,1)&amp;IFERROR(MID(H89,SEARCH(" ",H89,SEARCH(" ",H89)+1)+1,1),""),LEFT(H89,3)))&amp;IF(I89="","","-"&amp;IF(ISNUMBER(SEARCH(" ",I89)),LEFT(I89,1)&amp;MID(I89,SEARCH(" ",I89)+1,1)&amp;IFERROR(MID(I89,SEARCH(" ",I89,SEARCH(" ",I89)+1)+1,1),""),LEFT(I89,3)))&amp;IF(D89="","","-"&amp;D89)&amp;"-"&amp;TEXT(COUNTIF($H$4:H89,H89),"000")</f>
        <v>ABA-HYG-402-010</v>
      </c>
      <c r="H89" s="61" t="s">
        <v>611</v>
      </c>
      <c r="I89" s="28" t="s">
        <v>630</v>
      </c>
      <c r="J89" s="29" t="s">
        <v>424</v>
      </c>
      <c r="K89" s="30" t="s">
        <v>220</v>
      </c>
      <c r="L89" s="31" t="s">
        <v>135</v>
      </c>
      <c r="M89" s="31" t="s">
        <v>158</v>
      </c>
      <c r="N89" s="31" t="s">
        <v>145</v>
      </c>
      <c r="O89" s="31" t="s">
        <v>555</v>
      </c>
      <c r="P89" s="39">
        <v>0</v>
      </c>
      <c r="Q89" s="40">
        <f t="shared" si="36"/>
        <v>0</v>
      </c>
      <c r="R89" s="23">
        <v>0</v>
      </c>
      <c r="S89" s="158">
        <f t="shared" si="32"/>
        <v>0</v>
      </c>
      <c r="T89" s="69">
        <v>60</v>
      </c>
      <c r="U89" s="66">
        <f t="shared" si="34"/>
        <v>24</v>
      </c>
      <c r="V89" s="32">
        <f t="shared" si="33"/>
        <v>60</v>
      </c>
      <c r="W89" s="32">
        <f t="shared" si="35"/>
        <v>24</v>
      </c>
      <c r="X89" s="110">
        <v>15.5</v>
      </c>
      <c r="Y89" s="160"/>
      <c r="Z89" s="33">
        <f t="shared" si="23"/>
        <v>0</v>
      </c>
      <c r="AA89" s="33">
        <f t="shared" si="24"/>
        <v>0</v>
      </c>
      <c r="AB89" s="33">
        <f t="shared" si="25"/>
        <v>0</v>
      </c>
      <c r="AC89" s="33">
        <f t="shared" si="26"/>
        <v>0</v>
      </c>
      <c r="AD89" s="33">
        <f t="shared" si="27"/>
        <v>930</v>
      </c>
      <c r="AE89" s="33">
        <f t="shared" si="28"/>
        <v>372</v>
      </c>
      <c r="AF89" s="33">
        <f t="shared" si="29"/>
        <v>930</v>
      </c>
      <c r="AG89" s="33">
        <f t="shared" si="30"/>
        <v>372</v>
      </c>
    </row>
    <row r="90" spans="1:33" ht="10" customHeight="1">
      <c r="A90" s="60">
        <v>87</v>
      </c>
      <c r="B90" s="127" t="s">
        <v>178</v>
      </c>
      <c r="C90" s="61" t="s">
        <v>0</v>
      </c>
      <c r="D90" s="61" t="s">
        <v>59</v>
      </c>
      <c r="E90" s="61" t="s">
        <v>10</v>
      </c>
      <c r="F90" s="61" t="s">
        <v>3</v>
      </c>
      <c r="G90" s="199" t="str">
        <f>IF(H90="","",IF(ISNUMBER(SEARCH(" ",H90)),LEFT(H90,1)&amp;MID(H90,SEARCH(" ",H90)+1,1)&amp;IFERROR(MID(H90,SEARCH(" ",H90,SEARCH(" ",H90)+1)+1,1),""),LEFT(H90,3)))&amp;IF(I90="","","-"&amp;IF(ISNUMBER(SEARCH(" ",I90)),LEFT(I90,1)&amp;MID(I90,SEARCH(" ",I90)+1,1)&amp;IFERROR(MID(I90,SEARCH(" ",I90,SEARCH(" ",I90)+1)+1,1),""),LEFT(I90,3)))&amp;IF(D90="","","-"&amp;D90)&amp;"-"&amp;TEXT(COUNTIF($H$4:H90,H90),"000")</f>
        <v>ABA-HYG-405-011</v>
      </c>
      <c r="H90" s="61" t="s">
        <v>611</v>
      </c>
      <c r="I90" s="61" t="s">
        <v>630</v>
      </c>
      <c r="J90" s="62" t="s">
        <v>425</v>
      </c>
      <c r="K90" s="63" t="s">
        <v>221</v>
      </c>
      <c r="L90" s="64" t="s">
        <v>135</v>
      </c>
      <c r="M90" s="64" t="s">
        <v>142</v>
      </c>
      <c r="N90" s="64" t="s">
        <v>145</v>
      </c>
      <c r="O90" s="64" t="s">
        <v>556</v>
      </c>
      <c r="P90" s="39">
        <v>27</v>
      </c>
      <c r="Q90" s="40">
        <f t="shared" si="36"/>
        <v>10.8</v>
      </c>
      <c r="R90" s="23">
        <v>0</v>
      </c>
      <c r="S90" s="158">
        <f t="shared" si="32"/>
        <v>0</v>
      </c>
      <c r="T90" s="69">
        <v>0</v>
      </c>
      <c r="U90" s="66">
        <f t="shared" si="34"/>
        <v>0</v>
      </c>
      <c r="V90" s="67">
        <f t="shared" si="33"/>
        <v>27</v>
      </c>
      <c r="W90" s="67">
        <f t="shared" si="35"/>
        <v>10.8</v>
      </c>
      <c r="X90" s="113">
        <v>19.5</v>
      </c>
      <c r="Y90" s="160"/>
      <c r="Z90" s="68">
        <f t="shared" si="23"/>
        <v>526.5</v>
      </c>
      <c r="AA90" s="68">
        <f t="shared" si="24"/>
        <v>210.60000000000002</v>
      </c>
      <c r="AB90" s="68">
        <f t="shared" si="25"/>
        <v>0</v>
      </c>
      <c r="AC90" s="68">
        <f t="shared" si="26"/>
        <v>0</v>
      </c>
      <c r="AD90" s="68">
        <f t="shared" si="27"/>
        <v>0</v>
      </c>
      <c r="AE90" s="68">
        <f t="shared" si="28"/>
        <v>0</v>
      </c>
      <c r="AF90" s="68">
        <f t="shared" si="29"/>
        <v>526.5</v>
      </c>
      <c r="AG90" s="68">
        <f t="shared" si="30"/>
        <v>210.60000000000002</v>
      </c>
    </row>
    <row r="91" spans="1:33" ht="10" customHeight="1">
      <c r="A91" s="60">
        <v>88</v>
      </c>
      <c r="B91" s="124" t="s">
        <v>178</v>
      </c>
      <c r="C91" s="28" t="s">
        <v>0</v>
      </c>
      <c r="D91" s="28" t="s">
        <v>59</v>
      </c>
      <c r="E91" s="28" t="s">
        <v>24</v>
      </c>
      <c r="F91" s="28" t="s">
        <v>3</v>
      </c>
      <c r="G91" s="199" t="str">
        <f>IF(H91="","",IF(ISNUMBER(SEARCH(" ",H91)),LEFT(H91,1)&amp;MID(H91,SEARCH(" ",H91)+1,1)&amp;IFERROR(MID(H91,SEARCH(" ",H91,SEARCH(" ",H91)+1)+1,1),""),LEFT(H91,3)))&amp;IF(I91="","","-"&amp;IF(ISNUMBER(SEARCH(" ",I91)),LEFT(I91,1)&amp;MID(I91,SEARCH(" ",I91)+1,1)&amp;IFERROR(MID(I91,SEARCH(" ",I91,SEARCH(" ",I91)+1)+1,1),""),LEFT(I91,3)))&amp;IF(D91="","","-"&amp;D91)&amp;"-"&amp;TEXT(COUNTIF($H$4:H91,H91),"000")</f>
        <v>ABA-HYG-405-012</v>
      </c>
      <c r="H91" s="61" t="s">
        <v>611</v>
      </c>
      <c r="I91" s="28" t="s">
        <v>630</v>
      </c>
      <c r="J91" s="29" t="s">
        <v>426</v>
      </c>
      <c r="K91" s="30" t="s">
        <v>222</v>
      </c>
      <c r="L91" s="31" t="s">
        <v>135</v>
      </c>
      <c r="M91" s="31" t="s">
        <v>159</v>
      </c>
      <c r="N91" s="31" t="s">
        <v>145</v>
      </c>
      <c r="O91" s="31" t="s">
        <v>556</v>
      </c>
      <c r="P91" s="39">
        <v>630</v>
      </c>
      <c r="Q91" s="40">
        <f t="shared" si="36"/>
        <v>252</v>
      </c>
      <c r="R91" s="23">
        <v>180</v>
      </c>
      <c r="S91" s="158">
        <f t="shared" si="32"/>
        <v>72</v>
      </c>
      <c r="T91" s="69">
        <v>180</v>
      </c>
      <c r="U91" s="66">
        <f t="shared" si="34"/>
        <v>72</v>
      </c>
      <c r="V91" s="32">
        <f t="shared" si="33"/>
        <v>990</v>
      </c>
      <c r="W91" s="32">
        <f t="shared" si="35"/>
        <v>396</v>
      </c>
      <c r="X91" s="110">
        <v>86</v>
      </c>
      <c r="Y91" s="160"/>
      <c r="Z91" s="33">
        <f t="shared" si="23"/>
        <v>54180</v>
      </c>
      <c r="AA91" s="33">
        <f t="shared" si="24"/>
        <v>21672</v>
      </c>
      <c r="AB91" s="33">
        <f t="shared" si="25"/>
        <v>15480</v>
      </c>
      <c r="AC91" s="33">
        <f t="shared" si="26"/>
        <v>6192</v>
      </c>
      <c r="AD91" s="33">
        <f t="shared" si="27"/>
        <v>15480</v>
      </c>
      <c r="AE91" s="33">
        <f t="shared" si="28"/>
        <v>6192</v>
      </c>
      <c r="AF91" s="33">
        <f t="shared" si="29"/>
        <v>85140</v>
      </c>
      <c r="AG91" s="33">
        <f t="shared" si="30"/>
        <v>34056</v>
      </c>
    </row>
    <row r="92" spans="1:33" ht="10" customHeight="1">
      <c r="A92" s="60">
        <v>89</v>
      </c>
      <c r="B92" s="127" t="s">
        <v>178</v>
      </c>
      <c r="C92" s="61" t="s">
        <v>0</v>
      </c>
      <c r="D92" s="61" t="s">
        <v>59</v>
      </c>
      <c r="E92" s="61" t="s">
        <v>60</v>
      </c>
      <c r="F92" s="70" t="s">
        <v>44</v>
      </c>
      <c r="G92" s="199" t="str">
        <f>IF(H92="","",IF(ISNUMBER(SEARCH(" ",H92)),LEFT(H92,1)&amp;MID(H92,SEARCH(" ",H92)+1,1)&amp;IFERROR(MID(H92,SEARCH(" ",H92,SEARCH(" ",H92)+1)+1,1),""),LEFT(H92,3)))&amp;IF(I92="","","-"&amp;IF(ISNUMBER(SEARCH(" ",I92)),LEFT(I92,1)&amp;MID(I92,SEARCH(" ",I92)+1,1)&amp;IFERROR(MID(I92,SEARCH(" ",I92,SEARCH(" ",I92)+1)+1,1),""),LEFT(I92,3)))&amp;IF(D92="","","-"&amp;D92)&amp;"-"&amp;TEXT(COUNTIF($H$4:H92,H92),"000")</f>
        <v>ABA-HYG-405-013</v>
      </c>
      <c r="H92" s="61" t="s">
        <v>611</v>
      </c>
      <c r="I92" s="70" t="s">
        <v>630</v>
      </c>
      <c r="J92" s="71" t="s">
        <v>427</v>
      </c>
      <c r="K92" s="72" t="s">
        <v>223</v>
      </c>
      <c r="L92" s="64" t="s">
        <v>135</v>
      </c>
      <c r="M92" s="64" t="s">
        <v>184</v>
      </c>
      <c r="N92" s="64" t="s">
        <v>333</v>
      </c>
      <c r="O92" s="64" t="s">
        <v>556</v>
      </c>
      <c r="P92" s="39">
        <v>0</v>
      </c>
      <c r="Q92" s="40">
        <f t="shared" si="36"/>
        <v>0</v>
      </c>
      <c r="R92" s="23">
        <v>0</v>
      </c>
      <c r="S92" s="158">
        <f t="shared" si="32"/>
        <v>0</v>
      </c>
      <c r="T92" s="69">
        <v>144</v>
      </c>
      <c r="U92" s="66">
        <v>57</v>
      </c>
      <c r="V92" s="67">
        <f t="shared" si="33"/>
        <v>144</v>
      </c>
      <c r="W92" s="67">
        <f t="shared" si="35"/>
        <v>57.6</v>
      </c>
      <c r="X92" s="113">
        <v>9.4</v>
      </c>
      <c r="Y92" s="160"/>
      <c r="Z92" s="68">
        <f t="shared" si="23"/>
        <v>0</v>
      </c>
      <c r="AA92" s="68">
        <f t="shared" si="24"/>
        <v>0</v>
      </c>
      <c r="AB92" s="68">
        <f t="shared" si="25"/>
        <v>0</v>
      </c>
      <c r="AC92" s="68">
        <f t="shared" si="26"/>
        <v>0</v>
      </c>
      <c r="AD92" s="68">
        <f t="shared" si="27"/>
        <v>1353.6000000000001</v>
      </c>
      <c r="AE92" s="68">
        <f t="shared" si="28"/>
        <v>535.80000000000007</v>
      </c>
      <c r="AF92" s="68">
        <f t="shared" si="29"/>
        <v>1353.6000000000001</v>
      </c>
      <c r="AG92" s="68">
        <f t="shared" si="30"/>
        <v>541.44000000000005</v>
      </c>
    </row>
    <row r="93" spans="1:33" ht="10" customHeight="1">
      <c r="A93" s="60">
        <v>90</v>
      </c>
      <c r="B93" s="124" t="s">
        <v>178</v>
      </c>
      <c r="C93" s="28" t="s">
        <v>0</v>
      </c>
      <c r="D93" s="28" t="s">
        <v>23</v>
      </c>
      <c r="E93" s="28" t="s">
        <v>61</v>
      </c>
      <c r="F93" s="28" t="s">
        <v>3</v>
      </c>
      <c r="G93" s="199" t="str">
        <f>IF(H93="","",IF(ISNUMBER(SEARCH(" ",H93)),LEFT(H93,1)&amp;MID(H93,SEARCH(" ",H93)+1,1)&amp;IFERROR(MID(H93,SEARCH(" ",H93,SEARCH(" ",H93)+1)+1,1),""),LEFT(H93,3)))&amp;IF(I93="","","-"&amp;IF(ISNUMBER(SEARCH(" ",I93)),LEFT(I93,1)&amp;MID(I93,SEARCH(" ",I93)+1,1)&amp;IFERROR(MID(I93,SEARCH(" ",I93,SEARCH(" ",I93)+1)+1,1),""),LEFT(I93,3)))&amp;IF(D93="","","-"&amp;D93)&amp;"-"&amp;TEXT(COUNTIF($H$4:H93,H93),"000")</f>
        <v>ABA-HYG-406-014</v>
      </c>
      <c r="H93" s="61" t="s">
        <v>611</v>
      </c>
      <c r="I93" s="28" t="s">
        <v>630</v>
      </c>
      <c r="J93" s="29" t="s">
        <v>428</v>
      </c>
      <c r="K93" s="30" t="s">
        <v>224</v>
      </c>
      <c r="L93" s="31" t="s">
        <v>135</v>
      </c>
      <c r="M93" s="31" t="s">
        <v>142</v>
      </c>
      <c r="N93" s="31" t="s">
        <v>313</v>
      </c>
      <c r="O93" s="31" t="s">
        <v>555</v>
      </c>
      <c r="P93" s="39">
        <v>135</v>
      </c>
      <c r="Q93" s="40">
        <f t="shared" si="36"/>
        <v>54</v>
      </c>
      <c r="R93" s="23">
        <v>36</v>
      </c>
      <c r="S93" s="158">
        <f t="shared" si="32"/>
        <v>14.4</v>
      </c>
      <c r="T93" s="69">
        <v>148.5</v>
      </c>
      <c r="U93" s="66">
        <v>59</v>
      </c>
      <c r="V93" s="32">
        <f t="shared" si="33"/>
        <v>319.5</v>
      </c>
      <c r="W93" s="32">
        <f t="shared" si="35"/>
        <v>127.80000000000001</v>
      </c>
      <c r="X93" s="110">
        <v>25.5</v>
      </c>
      <c r="Y93" s="160"/>
      <c r="Z93" s="33">
        <f t="shared" si="23"/>
        <v>3442.5</v>
      </c>
      <c r="AA93" s="33">
        <f t="shared" si="24"/>
        <v>1377</v>
      </c>
      <c r="AB93" s="33">
        <f t="shared" si="25"/>
        <v>918</v>
      </c>
      <c r="AC93" s="33">
        <f t="shared" si="26"/>
        <v>367.2</v>
      </c>
      <c r="AD93" s="33">
        <f t="shared" si="27"/>
        <v>3786.75</v>
      </c>
      <c r="AE93" s="33">
        <f t="shared" si="28"/>
        <v>1504.5</v>
      </c>
      <c r="AF93" s="33">
        <f t="shared" si="29"/>
        <v>8147.25</v>
      </c>
      <c r="AG93" s="33">
        <f t="shared" si="30"/>
        <v>3258.9</v>
      </c>
    </row>
    <row r="94" spans="1:33" ht="10" customHeight="1">
      <c r="A94" s="60">
        <v>91</v>
      </c>
      <c r="B94" s="127" t="s">
        <v>178</v>
      </c>
      <c r="C94" s="61" t="s">
        <v>0</v>
      </c>
      <c r="D94" s="61" t="s">
        <v>59</v>
      </c>
      <c r="E94" s="61" t="s">
        <v>27</v>
      </c>
      <c r="F94" s="61" t="s">
        <v>3</v>
      </c>
      <c r="G94" s="199" t="str">
        <f>IF(H94="","",IF(ISNUMBER(SEARCH(" ",H94)),LEFT(H94,1)&amp;MID(H94,SEARCH(" ",H94)+1,1)&amp;IFERROR(MID(H94,SEARCH(" ",H94,SEARCH(" ",H94)+1)+1,1),""),LEFT(H94,3)))&amp;IF(I94="","","-"&amp;IF(ISNUMBER(SEARCH(" ",I94)),LEFT(I94,1)&amp;MID(I94,SEARCH(" ",I94)+1,1)&amp;IFERROR(MID(I94,SEARCH(" ",I94,SEARCH(" ",I94)+1)+1,1),""),LEFT(I94,3)))&amp;IF(D94="","","-"&amp;D94)&amp;"-"&amp;TEXT(COUNTIF($H$4:H94,H94),"000")</f>
        <v>ABA-CER-405-015</v>
      </c>
      <c r="H94" s="61" t="s">
        <v>611</v>
      </c>
      <c r="I94" s="61" t="s">
        <v>619</v>
      </c>
      <c r="J94" s="62" t="s">
        <v>429</v>
      </c>
      <c r="K94" s="63" t="s">
        <v>529</v>
      </c>
      <c r="L94" s="64" t="s">
        <v>145</v>
      </c>
      <c r="M94" s="64" t="s">
        <v>160</v>
      </c>
      <c r="N94" s="64" t="s">
        <v>145</v>
      </c>
      <c r="O94" s="64" t="s">
        <v>557</v>
      </c>
      <c r="P94" s="39">
        <v>252</v>
      </c>
      <c r="Q94" s="40">
        <f t="shared" si="36"/>
        <v>100.80000000000001</v>
      </c>
      <c r="R94" s="23">
        <v>60</v>
      </c>
      <c r="S94" s="158">
        <f t="shared" si="32"/>
        <v>24</v>
      </c>
      <c r="T94" s="69">
        <v>144</v>
      </c>
      <c r="U94" s="66">
        <v>57</v>
      </c>
      <c r="V94" s="67">
        <f t="shared" si="33"/>
        <v>456</v>
      </c>
      <c r="W94" s="67">
        <f t="shared" si="35"/>
        <v>182.4</v>
      </c>
      <c r="X94" s="113">
        <v>72.5</v>
      </c>
      <c r="Y94" s="160"/>
      <c r="Z94" s="68">
        <f t="shared" si="23"/>
        <v>18270</v>
      </c>
      <c r="AA94" s="68">
        <f t="shared" si="24"/>
        <v>7308.0000000000009</v>
      </c>
      <c r="AB94" s="68">
        <f t="shared" si="25"/>
        <v>4350</v>
      </c>
      <c r="AC94" s="68">
        <f t="shared" si="26"/>
        <v>1740</v>
      </c>
      <c r="AD94" s="68">
        <f t="shared" si="27"/>
        <v>10440</v>
      </c>
      <c r="AE94" s="68">
        <f t="shared" si="28"/>
        <v>4132.5</v>
      </c>
      <c r="AF94" s="68">
        <f t="shared" si="29"/>
        <v>33060</v>
      </c>
      <c r="AG94" s="68">
        <f t="shared" si="30"/>
        <v>13224</v>
      </c>
    </row>
    <row r="95" spans="1:33" ht="10" customHeight="1">
      <c r="A95" s="60">
        <v>92</v>
      </c>
      <c r="B95" s="124" t="s">
        <v>178</v>
      </c>
      <c r="C95" s="28" t="s">
        <v>0</v>
      </c>
      <c r="D95" s="28" t="s">
        <v>59</v>
      </c>
      <c r="E95" s="28" t="s">
        <v>16</v>
      </c>
      <c r="F95" s="28" t="s">
        <v>3</v>
      </c>
      <c r="G95" s="199" t="str">
        <f>IF(H95="","",IF(ISNUMBER(SEARCH(" ",H95)),LEFT(H95,1)&amp;MID(H95,SEARCH(" ",H95)+1,1)&amp;IFERROR(MID(H95,SEARCH(" ",H95,SEARCH(" ",H95)+1)+1,1),""),LEFT(H95,3)))&amp;IF(I95="","","-"&amp;IF(ISNUMBER(SEARCH(" ",I95)),LEFT(I95,1)&amp;MID(I95,SEARCH(" ",I95)+1,1)&amp;IFERROR(MID(I95,SEARCH(" ",I95,SEARCH(" ",I95)+1)+1,1),""),LEFT(I95,3)))&amp;IF(D95="","","-"&amp;D95)&amp;"-"&amp;TEXT(COUNTIF($H$4:H95,H95),"000")</f>
        <v>ABA-CER-405-016</v>
      </c>
      <c r="H95" s="61" t="s">
        <v>611</v>
      </c>
      <c r="I95" s="28" t="s">
        <v>619</v>
      </c>
      <c r="J95" s="29" t="s">
        <v>430</v>
      </c>
      <c r="K95" s="30" t="s">
        <v>225</v>
      </c>
      <c r="L95" s="31" t="s">
        <v>135</v>
      </c>
      <c r="M95" s="31" t="s">
        <v>142</v>
      </c>
      <c r="N95" s="31" t="s">
        <v>313</v>
      </c>
      <c r="O95" s="31" t="s">
        <v>530</v>
      </c>
      <c r="P95" s="39">
        <v>405</v>
      </c>
      <c r="Q95" s="40">
        <f t="shared" si="36"/>
        <v>162</v>
      </c>
      <c r="R95" s="23">
        <v>240</v>
      </c>
      <c r="S95" s="158">
        <f t="shared" si="32"/>
        <v>96</v>
      </c>
      <c r="T95" s="69">
        <v>348</v>
      </c>
      <c r="U95" s="66">
        <v>139</v>
      </c>
      <c r="V95" s="32">
        <f t="shared" si="33"/>
        <v>993</v>
      </c>
      <c r="W95" s="32">
        <f t="shared" si="35"/>
        <v>397.20000000000005</v>
      </c>
      <c r="X95" s="110">
        <v>35.5</v>
      </c>
      <c r="Y95" s="160"/>
      <c r="Z95" s="33">
        <f t="shared" si="23"/>
        <v>14377.5</v>
      </c>
      <c r="AA95" s="33">
        <f t="shared" si="24"/>
        <v>5751</v>
      </c>
      <c r="AB95" s="33">
        <f t="shared" si="25"/>
        <v>8520</v>
      </c>
      <c r="AC95" s="33">
        <f t="shared" si="26"/>
        <v>3408</v>
      </c>
      <c r="AD95" s="33">
        <f t="shared" si="27"/>
        <v>12354</v>
      </c>
      <c r="AE95" s="33">
        <f t="shared" si="28"/>
        <v>4934.5</v>
      </c>
      <c r="AF95" s="33">
        <f t="shared" si="29"/>
        <v>35251.5</v>
      </c>
      <c r="AG95" s="33">
        <f t="shared" si="30"/>
        <v>14100.600000000002</v>
      </c>
    </row>
    <row r="96" spans="1:33" ht="10" customHeight="1">
      <c r="A96" s="60">
        <v>93</v>
      </c>
      <c r="B96" s="127" t="s">
        <v>178</v>
      </c>
      <c r="C96" s="61" t="s">
        <v>0</v>
      </c>
      <c r="D96" s="61" t="s">
        <v>23</v>
      </c>
      <c r="E96" s="61" t="s">
        <v>70</v>
      </c>
      <c r="F96" s="61" t="s">
        <v>3</v>
      </c>
      <c r="G96" s="199" t="str">
        <f>IF(H96="","",IF(ISNUMBER(SEARCH(" ",H96)),LEFT(H96,1)&amp;MID(H96,SEARCH(" ",H96)+1,1)&amp;IFERROR(MID(H96,SEARCH(" ",H96,SEARCH(" ",H96)+1)+1,1),""),LEFT(H96,3)))&amp;IF(I96="","","-"&amp;IF(ISNUMBER(SEARCH(" ",I96)),LEFT(I96,1)&amp;MID(I96,SEARCH(" ",I96)+1,1)&amp;IFERROR(MID(I96,SEARCH(" ",I96,SEARCH(" ",I96)+1)+1,1),""),LEFT(I96,3)))&amp;IF(D96="","","-"&amp;D96)&amp;"-"&amp;TEXT(COUNTIF($H$4:H96,H96),"000")</f>
        <v>ABA-PC-406-017</v>
      </c>
      <c r="H96" s="61" t="s">
        <v>611</v>
      </c>
      <c r="I96" s="61" t="s">
        <v>639</v>
      </c>
      <c r="J96" s="62" t="s">
        <v>634</v>
      </c>
      <c r="K96" s="63" t="s">
        <v>226</v>
      </c>
      <c r="L96" s="64" t="s">
        <v>166</v>
      </c>
      <c r="M96" s="64" t="s">
        <v>183</v>
      </c>
      <c r="N96" s="64" t="s">
        <v>313</v>
      </c>
      <c r="O96" s="64" t="s">
        <v>558</v>
      </c>
      <c r="P96" s="39">
        <v>1350</v>
      </c>
      <c r="Q96" s="40">
        <f t="shared" si="36"/>
        <v>540</v>
      </c>
      <c r="R96" s="23">
        <v>720</v>
      </c>
      <c r="S96" s="158">
        <f t="shared" si="32"/>
        <v>288</v>
      </c>
      <c r="T96" s="69">
        <v>1140</v>
      </c>
      <c r="U96" s="66">
        <f t="shared" si="34"/>
        <v>456</v>
      </c>
      <c r="V96" s="67">
        <f t="shared" si="33"/>
        <v>3210</v>
      </c>
      <c r="W96" s="67">
        <f t="shared" si="35"/>
        <v>1284</v>
      </c>
      <c r="X96" s="113">
        <v>6.9</v>
      </c>
      <c r="Y96" s="160"/>
      <c r="Z96" s="68">
        <f t="shared" si="23"/>
        <v>9315</v>
      </c>
      <c r="AA96" s="68">
        <f t="shared" si="24"/>
        <v>3726</v>
      </c>
      <c r="AB96" s="68">
        <f t="shared" si="25"/>
        <v>4968</v>
      </c>
      <c r="AC96" s="68">
        <f t="shared" si="26"/>
        <v>1987.2</v>
      </c>
      <c r="AD96" s="68">
        <f t="shared" si="27"/>
        <v>7866</v>
      </c>
      <c r="AE96" s="68">
        <f t="shared" si="28"/>
        <v>3146.4</v>
      </c>
      <c r="AF96" s="68">
        <f t="shared" si="29"/>
        <v>22149</v>
      </c>
      <c r="AG96" s="68">
        <f t="shared" si="30"/>
        <v>8859.6</v>
      </c>
    </row>
    <row r="97" spans="1:33" ht="10" customHeight="1">
      <c r="A97" s="60">
        <v>94</v>
      </c>
      <c r="B97" s="124" t="s">
        <v>178</v>
      </c>
      <c r="C97" s="28" t="s">
        <v>0</v>
      </c>
      <c r="D97" s="28" t="s">
        <v>23</v>
      </c>
      <c r="E97" s="28" t="s">
        <v>68</v>
      </c>
      <c r="F97" s="28" t="s">
        <v>3</v>
      </c>
      <c r="G97" s="199" t="str">
        <f>IF(H97="","",IF(ISNUMBER(SEARCH(" ",H97)),LEFT(H97,1)&amp;MID(H97,SEARCH(" ",H97)+1,1)&amp;IFERROR(MID(H97,SEARCH(" ",H97,SEARCH(" ",H97)+1)+1,1),""),LEFT(H97,3)))&amp;IF(I97="","","-"&amp;IF(ISNUMBER(SEARCH(" ",I97)),LEFT(I97,1)&amp;MID(I97,SEARCH(" ",I97)+1,1)&amp;IFERROR(MID(I97,SEARCH(" ",I97,SEARCH(" ",I97)+1)+1,1),""),LEFT(I97,3)))&amp;IF(D97="","","-"&amp;D97)&amp;"-"&amp;TEXT(COUNTIF($H$4:H97,H97),"000")</f>
        <v>ABA-PC-406-018</v>
      </c>
      <c r="H97" s="61" t="s">
        <v>611</v>
      </c>
      <c r="I97" s="28" t="s">
        <v>639</v>
      </c>
      <c r="J97" s="29" t="s">
        <v>635</v>
      </c>
      <c r="K97" s="30" t="s">
        <v>227</v>
      </c>
      <c r="L97" s="31" t="s">
        <v>166</v>
      </c>
      <c r="M97" s="31" t="s">
        <v>183</v>
      </c>
      <c r="N97" s="31" t="s">
        <v>313</v>
      </c>
      <c r="O97" s="31" t="s">
        <v>558</v>
      </c>
      <c r="P97" s="39">
        <v>1350</v>
      </c>
      <c r="Q97" s="40">
        <f t="shared" si="36"/>
        <v>540</v>
      </c>
      <c r="R97" s="23">
        <v>0</v>
      </c>
      <c r="S97" s="158">
        <f t="shared" si="32"/>
        <v>0</v>
      </c>
      <c r="T97" s="69">
        <v>540</v>
      </c>
      <c r="U97" s="66">
        <f t="shared" si="34"/>
        <v>216</v>
      </c>
      <c r="V97" s="32">
        <f t="shared" si="33"/>
        <v>1890</v>
      </c>
      <c r="W97" s="32">
        <f t="shared" si="35"/>
        <v>756</v>
      </c>
      <c r="X97" s="110">
        <v>6.9</v>
      </c>
      <c r="Y97" s="160"/>
      <c r="Z97" s="33">
        <f t="shared" si="23"/>
        <v>9315</v>
      </c>
      <c r="AA97" s="33">
        <f t="shared" si="24"/>
        <v>3726</v>
      </c>
      <c r="AB97" s="33">
        <f t="shared" si="25"/>
        <v>0</v>
      </c>
      <c r="AC97" s="33">
        <f t="shared" si="26"/>
        <v>0</v>
      </c>
      <c r="AD97" s="33">
        <f t="shared" si="27"/>
        <v>3726</v>
      </c>
      <c r="AE97" s="33">
        <f t="shared" si="28"/>
        <v>1490.4</v>
      </c>
      <c r="AF97" s="33">
        <f t="shared" si="29"/>
        <v>13041</v>
      </c>
      <c r="AG97" s="33">
        <f t="shared" si="30"/>
        <v>5216.4000000000005</v>
      </c>
    </row>
    <row r="98" spans="1:33" ht="10" customHeight="1">
      <c r="A98" s="60">
        <v>95</v>
      </c>
      <c r="B98" s="127" t="s">
        <v>178</v>
      </c>
      <c r="C98" s="61" t="s">
        <v>0</v>
      </c>
      <c r="D98" s="61" t="s">
        <v>23</v>
      </c>
      <c r="E98" s="61" t="s">
        <v>69</v>
      </c>
      <c r="F98" s="61" t="s">
        <v>3</v>
      </c>
      <c r="G98" s="199" t="str">
        <f>IF(H98="","",IF(ISNUMBER(SEARCH(" ",H98)),LEFT(H98,1)&amp;MID(H98,SEARCH(" ",H98)+1,1)&amp;IFERROR(MID(H98,SEARCH(" ",H98,SEARCH(" ",H98)+1)+1,1),""),LEFT(H98,3)))&amp;IF(I98="","","-"&amp;IF(ISNUMBER(SEARCH(" ",I98)),LEFT(I98,1)&amp;MID(I98,SEARCH(" ",I98)+1,1)&amp;IFERROR(MID(I98,SEARCH(" ",I98,SEARCH(" ",I98)+1)+1,1),""),LEFT(I98,3)))&amp;IF(D98="","","-"&amp;D98)&amp;"-"&amp;TEXT(COUNTIF($H$4:H98,H98),"000")</f>
        <v>ABA-PC-406-019</v>
      </c>
      <c r="H98" s="61" t="s">
        <v>611</v>
      </c>
      <c r="I98" s="61" t="s">
        <v>639</v>
      </c>
      <c r="J98" s="62" t="s">
        <v>636</v>
      </c>
      <c r="K98" s="63" t="s">
        <v>228</v>
      </c>
      <c r="L98" s="64" t="s">
        <v>166</v>
      </c>
      <c r="M98" s="64" t="s">
        <v>183</v>
      </c>
      <c r="N98" s="64" t="s">
        <v>313</v>
      </c>
      <c r="O98" s="64" t="s">
        <v>558</v>
      </c>
      <c r="P98" s="39">
        <v>0</v>
      </c>
      <c r="Q98" s="40">
        <f t="shared" si="36"/>
        <v>0</v>
      </c>
      <c r="R98" s="23">
        <v>0</v>
      </c>
      <c r="S98" s="158">
        <f t="shared" si="32"/>
        <v>0</v>
      </c>
      <c r="T98" s="69">
        <v>144</v>
      </c>
      <c r="U98" s="66">
        <v>57</v>
      </c>
      <c r="V98" s="67">
        <f t="shared" si="33"/>
        <v>144</v>
      </c>
      <c r="W98" s="67">
        <f t="shared" si="35"/>
        <v>57.6</v>
      </c>
      <c r="X98" s="113">
        <v>6.9</v>
      </c>
      <c r="Y98" s="160"/>
      <c r="Z98" s="68">
        <f t="shared" si="23"/>
        <v>0</v>
      </c>
      <c r="AA98" s="68">
        <f t="shared" si="24"/>
        <v>0</v>
      </c>
      <c r="AB98" s="68">
        <f t="shared" si="25"/>
        <v>0</v>
      </c>
      <c r="AC98" s="68">
        <f t="shared" si="26"/>
        <v>0</v>
      </c>
      <c r="AD98" s="68">
        <f t="shared" si="27"/>
        <v>993.6</v>
      </c>
      <c r="AE98" s="68">
        <f t="shared" si="28"/>
        <v>393.3</v>
      </c>
      <c r="AF98" s="68">
        <f t="shared" si="29"/>
        <v>993.6</v>
      </c>
      <c r="AG98" s="68">
        <f t="shared" si="30"/>
        <v>397.44000000000005</v>
      </c>
    </row>
    <row r="99" spans="1:33" ht="10" customHeight="1">
      <c r="A99" s="60">
        <v>96</v>
      </c>
      <c r="B99" s="124" t="s">
        <v>178</v>
      </c>
      <c r="C99" s="28" t="s">
        <v>0</v>
      </c>
      <c r="D99" s="28" t="s">
        <v>23</v>
      </c>
      <c r="E99" s="28" t="s">
        <v>337</v>
      </c>
      <c r="F99" s="28" t="s">
        <v>3</v>
      </c>
      <c r="G99" s="199" t="str">
        <f>IF(H99="","",IF(ISNUMBER(SEARCH(" ",H99)),LEFT(H99,1)&amp;MID(H99,SEARCH(" ",H99)+1,1)&amp;IFERROR(MID(H99,SEARCH(" ",H99,SEARCH(" ",H99)+1)+1,1),""),LEFT(H99,3)))&amp;IF(I99="","","-"&amp;IF(ISNUMBER(SEARCH(" ",I99)),LEFT(I99,1)&amp;MID(I99,SEARCH(" ",I99)+1,1)&amp;IFERROR(MID(I99,SEARCH(" ",I99,SEARCH(" ",I99)+1)+1,1),""),LEFT(I99,3)))&amp;IF(D99="","","-"&amp;D99)&amp;"-"&amp;TEXT(COUNTIF($H$4:H99,H99),"000")</f>
        <v>ABA-PL-406-020</v>
      </c>
      <c r="H99" s="61" t="s">
        <v>611</v>
      </c>
      <c r="I99" s="28" t="s">
        <v>640</v>
      </c>
      <c r="J99" s="29" t="s">
        <v>637</v>
      </c>
      <c r="K99" s="30" t="s">
        <v>229</v>
      </c>
      <c r="L99" s="31" t="s">
        <v>166</v>
      </c>
      <c r="M99" s="31" t="s">
        <v>183</v>
      </c>
      <c r="N99" s="31" t="s">
        <v>313</v>
      </c>
      <c r="O99" s="31" t="s">
        <v>558</v>
      </c>
      <c r="P99" s="39">
        <v>1350</v>
      </c>
      <c r="Q99" s="40">
        <f t="shared" si="36"/>
        <v>540</v>
      </c>
      <c r="R99" s="23">
        <v>360</v>
      </c>
      <c r="S99" s="158">
        <f t="shared" si="32"/>
        <v>144</v>
      </c>
      <c r="T99" s="69">
        <v>720</v>
      </c>
      <c r="U99" s="66">
        <f t="shared" si="34"/>
        <v>288</v>
      </c>
      <c r="V99" s="32">
        <f t="shared" si="33"/>
        <v>2430</v>
      </c>
      <c r="W99" s="32">
        <f t="shared" si="35"/>
        <v>972</v>
      </c>
      <c r="X99" s="110">
        <v>6.9</v>
      </c>
      <c r="Y99" s="160"/>
      <c r="Z99" s="33">
        <f t="shared" si="23"/>
        <v>9315</v>
      </c>
      <c r="AA99" s="33">
        <f t="shared" si="24"/>
        <v>3726</v>
      </c>
      <c r="AB99" s="33">
        <f t="shared" si="25"/>
        <v>2484</v>
      </c>
      <c r="AC99" s="33">
        <f t="shared" si="26"/>
        <v>993.6</v>
      </c>
      <c r="AD99" s="33">
        <f t="shared" si="27"/>
        <v>4968</v>
      </c>
      <c r="AE99" s="33">
        <f t="shared" si="28"/>
        <v>1987.2</v>
      </c>
      <c r="AF99" s="33">
        <f t="shared" si="29"/>
        <v>16767</v>
      </c>
      <c r="AG99" s="33">
        <f t="shared" si="30"/>
        <v>6706.8</v>
      </c>
    </row>
    <row r="100" spans="1:33" ht="10" customHeight="1">
      <c r="A100" s="60">
        <v>97</v>
      </c>
      <c r="B100" s="127" t="s">
        <v>178</v>
      </c>
      <c r="C100" s="61" t="s">
        <v>0</v>
      </c>
      <c r="D100" s="61" t="s">
        <v>23</v>
      </c>
      <c r="E100" s="61" t="s">
        <v>338</v>
      </c>
      <c r="F100" s="61" t="s">
        <v>3</v>
      </c>
      <c r="G100" s="199" t="str">
        <f>IF(H100="","",IF(ISNUMBER(SEARCH(" ",H100)),LEFT(H100,1)&amp;MID(H100,SEARCH(" ",H100)+1,1)&amp;IFERROR(MID(H100,SEARCH(" ",H100,SEARCH(" ",H100)+1)+1,1),""),LEFT(H100,3)))&amp;IF(I100="","","-"&amp;IF(ISNUMBER(SEARCH(" ",I100)),LEFT(I100,1)&amp;MID(I100,SEARCH(" ",I100)+1,1)&amp;IFERROR(MID(I100,SEARCH(" ",I100,SEARCH(" ",I100)+1)+1,1),""),LEFT(I100,3)))&amp;IF(D100="","","-"&amp;D100)&amp;"-"&amp;TEXT(COUNTIF($H$4:H100,H100),"000")</f>
        <v>ABA-PL-406-021</v>
      </c>
      <c r="H100" s="61" t="s">
        <v>611</v>
      </c>
      <c r="I100" s="61" t="s">
        <v>640</v>
      </c>
      <c r="J100" s="62" t="s">
        <v>638</v>
      </c>
      <c r="K100" s="63" t="s">
        <v>549</v>
      </c>
      <c r="L100" s="64" t="s">
        <v>166</v>
      </c>
      <c r="M100" s="64" t="s">
        <v>183</v>
      </c>
      <c r="N100" s="64" t="s">
        <v>313</v>
      </c>
      <c r="O100" s="64" t="s">
        <v>558</v>
      </c>
      <c r="P100" s="39">
        <v>0</v>
      </c>
      <c r="Q100" s="40">
        <f t="shared" si="36"/>
        <v>0</v>
      </c>
      <c r="R100" s="23">
        <v>0</v>
      </c>
      <c r="S100" s="158">
        <f t="shared" si="32"/>
        <v>0</v>
      </c>
      <c r="T100" s="69">
        <v>432</v>
      </c>
      <c r="U100" s="66">
        <v>173</v>
      </c>
      <c r="V100" s="67">
        <f t="shared" si="33"/>
        <v>432</v>
      </c>
      <c r="W100" s="67">
        <f t="shared" si="35"/>
        <v>172.8</v>
      </c>
      <c r="X100" s="113">
        <v>6.9</v>
      </c>
      <c r="Y100" s="160"/>
      <c r="Z100" s="68">
        <f t="shared" ref="Z100:Z131" si="37">X100*P100</f>
        <v>0</v>
      </c>
      <c r="AA100" s="68">
        <f t="shared" ref="AA100:AA131" si="38">X100*Q100</f>
        <v>0</v>
      </c>
      <c r="AB100" s="68">
        <f t="shared" ref="AB100:AB131" si="39">X100*R100</f>
        <v>0</v>
      </c>
      <c r="AC100" s="68">
        <f t="shared" ref="AC100:AC131" si="40">X100*S100</f>
        <v>0</v>
      </c>
      <c r="AD100" s="68">
        <f t="shared" ref="AD100:AD131" si="41">X100*T100</f>
        <v>2980.8</v>
      </c>
      <c r="AE100" s="68">
        <f t="shared" ref="AE100:AE131" si="42">X100*U100</f>
        <v>1193.7</v>
      </c>
      <c r="AF100" s="68">
        <f t="shared" ref="AF100:AF131" si="43">X100*V100</f>
        <v>2980.8</v>
      </c>
      <c r="AG100" s="68">
        <f t="shared" ref="AG100:AG131" si="44">X100*W100</f>
        <v>1192.3200000000002</v>
      </c>
    </row>
    <row r="101" spans="1:33" ht="10" customHeight="1">
      <c r="A101" s="60">
        <v>98</v>
      </c>
      <c r="B101" s="124" t="s">
        <v>178</v>
      </c>
      <c r="C101" s="28" t="s">
        <v>0</v>
      </c>
      <c r="D101" s="28" t="s">
        <v>12</v>
      </c>
      <c r="E101" s="28" t="s">
        <v>27</v>
      </c>
      <c r="F101" s="28" t="s">
        <v>3</v>
      </c>
      <c r="G101" s="199" t="str">
        <f>IF(H101="","",IF(ISNUMBER(SEARCH(" ",H101)),LEFT(H101,1)&amp;MID(H101,SEARCH(" ",H101)+1,1)&amp;IFERROR(MID(H101,SEARCH(" ",H101,SEARCH(" ",H101)+1)+1,1),""),LEFT(H101,3)))&amp;IF(I101="","","-"&amp;IF(ISNUMBER(SEARCH(" ",I101)),LEFT(I101,1)&amp;MID(I101,SEARCH(" ",I101)+1,1)&amp;IFERROR(MID(I101,SEARCH(" ",I101,SEARCH(" ",I101)+1)+1,1),""),LEFT(I101,3)))&amp;IF(D101="","","-"&amp;D101)&amp;"-"&amp;TEXT(COUNTIF($H$4:H101,H101),"000")</f>
        <v>ABA-DR-401-022</v>
      </c>
      <c r="H101" s="61" t="s">
        <v>611</v>
      </c>
      <c r="I101" s="28" t="s">
        <v>625</v>
      </c>
      <c r="J101" s="29" t="s">
        <v>431</v>
      </c>
      <c r="K101" s="30" t="s">
        <v>230</v>
      </c>
      <c r="L101" s="31" t="s">
        <v>153</v>
      </c>
      <c r="M101" s="31" t="s">
        <v>154</v>
      </c>
      <c r="N101" s="31" t="s">
        <v>312</v>
      </c>
      <c r="O101" s="31" t="s">
        <v>524</v>
      </c>
      <c r="P101" s="39">
        <v>40500</v>
      </c>
      <c r="Q101" s="40">
        <f t="shared" si="36"/>
        <v>16200</v>
      </c>
      <c r="R101" s="23">
        <v>2160</v>
      </c>
      <c r="S101" s="158">
        <f t="shared" si="32"/>
        <v>864</v>
      </c>
      <c r="T101" s="69">
        <v>1800</v>
      </c>
      <c r="U101" s="66">
        <f t="shared" si="34"/>
        <v>720</v>
      </c>
      <c r="V101" s="32">
        <f t="shared" si="33"/>
        <v>44460</v>
      </c>
      <c r="W101" s="32">
        <f t="shared" si="35"/>
        <v>17784</v>
      </c>
      <c r="X101" s="110">
        <v>3.1</v>
      </c>
      <c r="Y101" s="160"/>
      <c r="Z101" s="33">
        <f t="shared" si="37"/>
        <v>125550</v>
      </c>
      <c r="AA101" s="33">
        <f t="shared" si="38"/>
        <v>50220</v>
      </c>
      <c r="AB101" s="33">
        <f t="shared" si="39"/>
        <v>6696</v>
      </c>
      <c r="AC101" s="33">
        <f t="shared" si="40"/>
        <v>2678.4</v>
      </c>
      <c r="AD101" s="33">
        <f t="shared" si="41"/>
        <v>5580</v>
      </c>
      <c r="AE101" s="33">
        <f t="shared" si="42"/>
        <v>2232</v>
      </c>
      <c r="AF101" s="33">
        <f t="shared" si="43"/>
        <v>137826</v>
      </c>
      <c r="AG101" s="33">
        <f t="shared" si="44"/>
        <v>55130.400000000001</v>
      </c>
    </row>
    <row r="102" spans="1:33" ht="10" customHeight="1">
      <c r="A102" s="73">
        <v>99</v>
      </c>
      <c r="B102" s="128" t="s">
        <v>178</v>
      </c>
      <c r="C102" s="74" t="s">
        <v>0</v>
      </c>
      <c r="D102" s="74" t="s">
        <v>53</v>
      </c>
      <c r="E102" s="74" t="s">
        <v>50</v>
      </c>
      <c r="F102" s="74" t="s">
        <v>3</v>
      </c>
      <c r="G102" s="199" t="str">
        <f>IF(H102="","",IF(ISNUMBER(SEARCH(" ",H102)),LEFT(H102,1)&amp;MID(H102,SEARCH(" ",H102)+1,1)&amp;IFERROR(MID(H102,SEARCH(" ",H102,SEARCH(" ",H102)+1)+1,1),""),LEFT(H102,3)))&amp;IF(I102="","","-"&amp;IF(ISNUMBER(SEARCH(" ",I102)),LEFT(I102,1)&amp;MID(I102,SEARCH(" ",I102)+1,1)&amp;IFERROR(MID(I102,SEARCH(" ",I102,SEARCH(" ",I102)+1)+1,1),""),LEFT(I102,3)))&amp;IF(D102="","","-"&amp;D102)&amp;"-"&amp;TEXT(COUNTIF($H$4:H102,H102),"000")</f>
        <v>ABA-SDL-501-023</v>
      </c>
      <c r="H102" s="74" t="s">
        <v>611</v>
      </c>
      <c r="I102" s="74" t="s">
        <v>661</v>
      </c>
      <c r="J102" s="75" t="s">
        <v>432</v>
      </c>
      <c r="K102" s="76" t="s">
        <v>231</v>
      </c>
      <c r="L102" s="77" t="s">
        <v>135</v>
      </c>
      <c r="M102" s="77" t="s">
        <v>142</v>
      </c>
      <c r="N102" s="77" t="s">
        <v>166</v>
      </c>
      <c r="O102" s="77" t="s">
        <v>516</v>
      </c>
      <c r="P102" s="39">
        <v>3150</v>
      </c>
      <c r="Q102" s="40">
        <f>(P102*0.4)</f>
        <v>1260</v>
      </c>
      <c r="R102" s="23">
        <v>840</v>
      </c>
      <c r="S102" s="158">
        <f>R102*0.4</f>
        <v>336</v>
      </c>
      <c r="T102" s="24">
        <v>144</v>
      </c>
      <c r="U102" s="52">
        <v>58</v>
      </c>
      <c r="V102" s="78">
        <f>P102+R102+T102</f>
        <v>4134</v>
      </c>
      <c r="W102" s="78">
        <f>V102*0.4</f>
        <v>1653.6000000000001</v>
      </c>
      <c r="X102" s="114">
        <v>48</v>
      </c>
      <c r="Y102" s="160"/>
      <c r="Z102" s="79">
        <f t="shared" si="37"/>
        <v>151200</v>
      </c>
      <c r="AA102" s="79">
        <f t="shared" si="38"/>
        <v>60480</v>
      </c>
      <c r="AB102" s="79">
        <f t="shared" si="39"/>
        <v>40320</v>
      </c>
      <c r="AC102" s="79">
        <f t="shared" si="40"/>
        <v>16128</v>
      </c>
      <c r="AD102" s="79">
        <f t="shared" si="41"/>
        <v>6912</v>
      </c>
      <c r="AE102" s="79">
        <f t="shared" si="42"/>
        <v>2784</v>
      </c>
      <c r="AF102" s="79">
        <f t="shared" si="43"/>
        <v>198432</v>
      </c>
      <c r="AG102" s="79">
        <f t="shared" si="44"/>
        <v>79372.800000000003</v>
      </c>
    </row>
    <row r="103" spans="1:33" ht="10" customHeight="1">
      <c r="A103" s="73">
        <v>100</v>
      </c>
      <c r="B103" s="124" t="s">
        <v>178</v>
      </c>
      <c r="C103" s="28" t="s">
        <v>0</v>
      </c>
      <c r="D103" s="28" t="s">
        <v>53</v>
      </c>
      <c r="E103" s="28" t="s">
        <v>26</v>
      </c>
      <c r="F103" s="28" t="s">
        <v>3</v>
      </c>
      <c r="G103" s="199" t="str">
        <f>IF(H103="","",IF(ISNUMBER(SEARCH(" ",H103)),LEFT(H103,1)&amp;MID(H103,SEARCH(" ",H103)+1,1)&amp;IFERROR(MID(H103,SEARCH(" ",H103,SEARCH(" ",H103)+1)+1,1),""),LEFT(H103,3)))&amp;IF(I103="","","-"&amp;IF(ISNUMBER(SEARCH(" ",I103)),LEFT(I103,1)&amp;MID(I103,SEARCH(" ",I103)+1,1)&amp;IFERROR(MID(I103,SEARCH(" ",I103,SEARCH(" ",I103)+1)+1,1),""),LEFT(I103,3)))&amp;IF(D103="","","-"&amp;D103)&amp;"-"&amp;TEXT(COUNTIF($H$4:H103,H103),"000")</f>
        <v>ABA-SDL-501-024</v>
      </c>
      <c r="H103" s="74" t="s">
        <v>611</v>
      </c>
      <c r="I103" s="28" t="s">
        <v>661</v>
      </c>
      <c r="J103" s="29" t="s">
        <v>433</v>
      </c>
      <c r="K103" s="30" t="s">
        <v>232</v>
      </c>
      <c r="L103" s="31" t="s">
        <v>135</v>
      </c>
      <c r="M103" s="31" t="s">
        <v>142</v>
      </c>
      <c r="N103" s="31" t="s">
        <v>166</v>
      </c>
      <c r="O103" s="31" t="s">
        <v>516</v>
      </c>
      <c r="P103" s="21">
        <v>0</v>
      </c>
      <c r="Q103" s="40">
        <f>(P103*0.4)</f>
        <v>0</v>
      </c>
      <c r="R103" s="23">
        <v>120</v>
      </c>
      <c r="S103" s="158">
        <f>R103*0.4</f>
        <v>48</v>
      </c>
      <c r="T103" s="24">
        <v>600</v>
      </c>
      <c r="U103" s="52">
        <f>(T103*0.4)</f>
        <v>240</v>
      </c>
      <c r="V103" s="32">
        <f>P103+R103+T103</f>
        <v>720</v>
      </c>
      <c r="W103" s="32">
        <f>Q103+S103+U103</f>
        <v>288</v>
      </c>
      <c r="X103" s="110">
        <v>57</v>
      </c>
      <c r="Y103" s="160"/>
      <c r="Z103" s="33">
        <f t="shared" si="37"/>
        <v>0</v>
      </c>
      <c r="AA103" s="33">
        <f t="shared" si="38"/>
        <v>0</v>
      </c>
      <c r="AB103" s="33">
        <f t="shared" si="39"/>
        <v>6840</v>
      </c>
      <c r="AC103" s="33">
        <f t="shared" si="40"/>
        <v>2736</v>
      </c>
      <c r="AD103" s="33">
        <f t="shared" si="41"/>
        <v>34200</v>
      </c>
      <c r="AE103" s="33">
        <f t="shared" si="42"/>
        <v>13680</v>
      </c>
      <c r="AF103" s="33">
        <f t="shared" si="43"/>
        <v>41040</v>
      </c>
      <c r="AG103" s="33">
        <f t="shared" si="44"/>
        <v>16416</v>
      </c>
    </row>
    <row r="104" spans="1:33" ht="10" customHeight="1">
      <c r="A104" s="73">
        <v>101</v>
      </c>
      <c r="B104" s="128" t="s">
        <v>178</v>
      </c>
      <c r="C104" s="74" t="s">
        <v>0</v>
      </c>
      <c r="D104" s="74" t="s">
        <v>58</v>
      </c>
      <c r="E104" s="74" t="s">
        <v>7</v>
      </c>
      <c r="F104" s="74" t="s">
        <v>21</v>
      </c>
      <c r="G104" s="199" t="str">
        <f>IF(H104="","",IF(ISNUMBER(SEARCH(" ",H104)),LEFT(H104,1)&amp;MID(H104,SEARCH(" ",H104)+1,1)&amp;IFERROR(MID(H104,SEARCH(" ",H104,SEARCH(" ",H104)+1)+1,1),""),LEFT(H104,3)))&amp;IF(I104="","","-"&amp;IF(ISNUMBER(SEARCH(" ",I104)),LEFT(I104,1)&amp;MID(I104,SEARCH(" ",I104)+1,1)&amp;IFERROR(MID(I104,SEARCH(" ",I104,SEARCH(" ",I104)+1)+1,1),""),LEFT(I104,3)))&amp;IF(D104="","","-"&amp;D104)&amp;"-"&amp;TEXT(COUNTIF($H$4:H104,H104),"000")</f>
        <v>ABA-SDL-503-025</v>
      </c>
      <c r="H104" s="74" t="s">
        <v>611</v>
      </c>
      <c r="I104" s="74" t="s">
        <v>661</v>
      </c>
      <c r="J104" s="75" t="s">
        <v>434</v>
      </c>
      <c r="K104" s="76" t="s">
        <v>233</v>
      </c>
      <c r="L104" s="77" t="s">
        <v>135</v>
      </c>
      <c r="M104" s="77" t="s">
        <v>142</v>
      </c>
      <c r="N104" s="77" t="s">
        <v>166</v>
      </c>
      <c r="O104" s="77" t="s">
        <v>516</v>
      </c>
      <c r="P104" s="21">
        <v>0</v>
      </c>
      <c r="Q104" s="40">
        <f>(P104*0.4)</f>
        <v>0</v>
      </c>
      <c r="R104" s="80">
        <v>24</v>
      </c>
      <c r="S104" s="158">
        <f>R104*0.4</f>
        <v>9.6000000000000014</v>
      </c>
      <c r="T104" s="24">
        <v>48</v>
      </c>
      <c r="U104" s="52">
        <f>(T104*0.4)</f>
        <v>19.200000000000003</v>
      </c>
      <c r="V104" s="78">
        <f>P104+R104+T104</f>
        <v>72</v>
      </c>
      <c r="W104" s="78">
        <f>Q104+S104+U104</f>
        <v>28.800000000000004</v>
      </c>
      <c r="X104" s="114">
        <v>87</v>
      </c>
      <c r="Y104" s="160"/>
      <c r="Z104" s="79">
        <f t="shared" si="37"/>
        <v>0</v>
      </c>
      <c r="AA104" s="79">
        <f t="shared" si="38"/>
        <v>0</v>
      </c>
      <c r="AB104" s="79">
        <f t="shared" si="39"/>
        <v>2088</v>
      </c>
      <c r="AC104" s="79">
        <f t="shared" si="40"/>
        <v>835.20000000000016</v>
      </c>
      <c r="AD104" s="79">
        <f t="shared" si="41"/>
        <v>4176</v>
      </c>
      <c r="AE104" s="79">
        <f t="shared" si="42"/>
        <v>1670.4000000000003</v>
      </c>
      <c r="AF104" s="79">
        <f t="shared" si="43"/>
        <v>6264</v>
      </c>
      <c r="AG104" s="79">
        <f t="shared" si="44"/>
        <v>2505.6000000000004</v>
      </c>
    </row>
    <row r="105" spans="1:33" ht="10" customHeight="1">
      <c r="A105" s="73">
        <v>102</v>
      </c>
      <c r="B105" s="124" t="s">
        <v>178</v>
      </c>
      <c r="C105" s="28" t="s">
        <v>0</v>
      </c>
      <c r="D105" s="28" t="s">
        <v>65</v>
      </c>
      <c r="E105" s="28" t="s">
        <v>7</v>
      </c>
      <c r="F105" s="28" t="s">
        <v>21</v>
      </c>
      <c r="G105" s="199" t="str">
        <f>IF(H105="","",IF(ISNUMBER(SEARCH(" ",H105)),LEFT(H105,1)&amp;MID(H105,SEARCH(" ",H105)+1,1)&amp;IFERROR(MID(H105,SEARCH(" ",H105,SEARCH(" ",H105)+1)+1,1),""),LEFT(H105,3)))&amp;IF(I105="","","-"&amp;IF(ISNUMBER(SEARCH(" ",I105)),LEFT(I105,1)&amp;MID(I105,SEARCH(" ",I105)+1,1)&amp;IFERROR(MID(I105,SEARCH(" ",I105,SEARCH(" ",I105)+1)+1,1),""),LEFT(I105,3)))&amp;IF(D105="","","-"&amp;D105)&amp;"-"&amp;TEXT(COUNTIF($H$4:H105,H105),"000")</f>
        <v>ABA-SDL-504-026</v>
      </c>
      <c r="H105" s="74" t="s">
        <v>611</v>
      </c>
      <c r="I105" s="28" t="s">
        <v>661</v>
      </c>
      <c r="J105" s="29" t="s">
        <v>435</v>
      </c>
      <c r="K105" s="30" t="s">
        <v>234</v>
      </c>
      <c r="L105" s="31" t="s">
        <v>135</v>
      </c>
      <c r="M105" s="31" t="s">
        <v>142</v>
      </c>
      <c r="N105" s="31" t="s">
        <v>166</v>
      </c>
      <c r="O105" s="31" t="s">
        <v>516</v>
      </c>
      <c r="P105" s="21">
        <v>0</v>
      </c>
      <c r="Q105" s="40">
        <f>(P105*0.4)</f>
        <v>0</v>
      </c>
      <c r="R105" s="80">
        <v>72</v>
      </c>
      <c r="S105" s="158">
        <f>R105*0.4</f>
        <v>28.8</v>
      </c>
      <c r="T105" s="24">
        <v>60</v>
      </c>
      <c r="U105" s="52">
        <f>(T105*0.4)</f>
        <v>24</v>
      </c>
      <c r="V105" s="32">
        <f>P105+R105+T105</f>
        <v>132</v>
      </c>
      <c r="W105" s="32">
        <f>Q105+S105+U105</f>
        <v>52.8</v>
      </c>
      <c r="X105" s="110">
        <v>36</v>
      </c>
      <c r="Y105" s="160"/>
      <c r="Z105" s="33">
        <f t="shared" si="37"/>
        <v>0</v>
      </c>
      <c r="AA105" s="33">
        <f t="shared" si="38"/>
        <v>0</v>
      </c>
      <c r="AB105" s="33">
        <f t="shared" si="39"/>
        <v>2592</v>
      </c>
      <c r="AC105" s="33">
        <f t="shared" si="40"/>
        <v>1036.8</v>
      </c>
      <c r="AD105" s="33">
        <f t="shared" si="41"/>
        <v>2160</v>
      </c>
      <c r="AE105" s="33">
        <f t="shared" si="42"/>
        <v>864</v>
      </c>
      <c r="AF105" s="33">
        <f t="shared" si="43"/>
        <v>4752</v>
      </c>
      <c r="AG105" s="33">
        <f t="shared" si="44"/>
        <v>1900.8</v>
      </c>
    </row>
    <row r="106" spans="1:33" ht="10" customHeight="1">
      <c r="A106" s="81">
        <v>103</v>
      </c>
      <c r="B106" s="129" t="s">
        <v>178</v>
      </c>
      <c r="C106" s="82" t="s">
        <v>0</v>
      </c>
      <c r="D106" s="120" t="s">
        <v>14</v>
      </c>
      <c r="E106" s="82" t="s">
        <v>7</v>
      </c>
      <c r="F106" s="82" t="s">
        <v>21</v>
      </c>
      <c r="G106" s="199" t="str">
        <f>IF(H106="","",IF(ISNUMBER(SEARCH(" ",H106)),LEFT(H106,1)&amp;MID(H106,SEARCH(" ",H106)+1,1)&amp;IFERROR(MID(H106,SEARCH(" ",H106,SEARCH(" ",H106)+1)+1,1),""),LEFT(H106,3)))&amp;IF(I106="","","-"&amp;IF(ISNUMBER(SEARCH(" ",I106)),LEFT(I106,1)&amp;MID(I106,SEARCH(" ",I106)+1,1)&amp;IFERROR(MID(I106,SEARCH(" ",I106,SEARCH(" ",I106)+1)+1,1),""),LEFT(I106,3)))&amp;IF(D106="","","-"&amp;D106)&amp;"-"&amp;TEXT(COUNTIF($H$4:H106,H106),"000")</f>
        <v>ABA-DUL-610-027</v>
      </c>
      <c r="H106" s="82" t="s">
        <v>611</v>
      </c>
      <c r="I106" s="120" t="s">
        <v>626</v>
      </c>
      <c r="J106" s="83" t="s">
        <v>436</v>
      </c>
      <c r="K106" s="84" t="s">
        <v>339</v>
      </c>
      <c r="L106" s="85" t="s">
        <v>135</v>
      </c>
      <c r="M106" s="85" t="s">
        <v>142</v>
      </c>
      <c r="N106" s="85" t="s">
        <v>313</v>
      </c>
      <c r="O106" s="85" t="s">
        <v>559</v>
      </c>
      <c r="P106" s="86">
        <v>600</v>
      </c>
      <c r="Q106" s="87">
        <f>(P106*0.4)</f>
        <v>240</v>
      </c>
      <c r="R106" s="23">
        <v>60</v>
      </c>
      <c r="S106" s="158">
        <f t="shared" ref="S106:S126" si="45">R106*0.4</f>
        <v>24</v>
      </c>
      <c r="T106" s="24">
        <v>0</v>
      </c>
      <c r="U106" s="52">
        <f>(T106*0.4)</f>
        <v>0</v>
      </c>
      <c r="V106" s="88">
        <f t="shared" ref="V106:V126" si="46">P106+R106+T106</f>
        <v>660</v>
      </c>
      <c r="W106" s="88">
        <f>V106*0.4</f>
        <v>264</v>
      </c>
      <c r="X106" s="115">
        <v>51</v>
      </c>
      <c r="Y106" s="160"/>
      <c r="Z106" s="89">
        <f t="shared" si="37"/>
        <v>30600</v>
      </c>
      <c r="AA106" s="89">
        <f t="shared" si="38"/>
        <v>12240</v>
      </c>
      <c r="AB106" s="89">
        <f t="shared" si="39"/>
        <v>3060</v>
      </c>
      <c r="AC106" s="89">
        <f t="shared" si="40"/>
        <v>1224</v>
      </c>
      <c r="AD106" s="89">
        <f t="shared" si="41"/>
        <v>0</v>
      </c>
      <c r="AE106" s="89">
        <f t="shared" si="42"/>
        <v>0</v>
      </c>
      <c r="AF106" s="89">
        <f t="shared" si="43"/>
        <v>33660</v>
      </c>
      <c r="AG106" s="89">
        <f t="shared" si="44"/>
        <v>13464</v>
      </c>
    </row>
    <row r="107" spans="1:33" ht="10" customHeight="1">
      <c r="A107" s="81">
        <v>104</v>
      </c>
      <c r="B107" s="124" t="s">
        <v>178</v>
      </c>
      <c r="C107" s="28" t="s">
        <v>0</v>
      </c>
      <c r="D107" s="28" t="s">
        <v>20</v>
      </c>
      <c r="E107" s="28" t="s">
        <v>7</v>
      </c>
      <c r="F107" s="28" t="s">
        <v>21</v>
      </c>
      <c r="G107" s="199" t="str">
        <f>IF(H107="","",IF(ISNUMBER(SEARCH(" ",H107)),LEFT(H107,1)&amp;MID(H107,SEARCH(" ",H107)+1,1)&amp;IFERROR(MID(H107,SEARCH(" ",H107,SEARCH(" ",H107)+1)+1,1),""),LEFT(H107,3)))&amp;IF(I107="","","-"&amp;IF(ISNUMBER(SEARCH(" ",I107)),LEFT(I107,1)&amp;MID(I107,SEARCH(" ",I107)+1,1)&amp;IFERROR(MID(I107,SEARCH(" ",I107,SEARCH(" ",I107)+1)+1,1),""),LEFT(I107,3)))&amp;IF(D107="","","-"&amp;D107)&amp;"-"&amp;TEXT(COUNTIF($H$4:H107,H107),"000")</f>
        <v>ABA-AZU-601-028</v>
      </c>
      <c r="H107" s="82" t="s">
        <v>611</v>
      </c>
      <c r="I107" s="28" t="s">
        <v>615</v>
      </c>
      <c r="J107" s="29" t="s">
        <v>437</v>
      </c>
      <c r="K107" s="30" t="s">
        <v>235</v>
      </c>
      <c r="L107" s="31" t="s">
        <v>135</v>
      </c>
      <c r="M107" s="31" t="s">
        <v>142</v>
      </c>
      <c r="N107" s="31" t="s">
        <v>166</v>
      </c>
      <c r="O107" s="31" t="s">
        <v>560</v>
      </c>
      <c r="P107" s="86">
        <v>4200</v>
      </c>
      <c r="Q107" s="87">
        <f t="shared" ref="Q107:Q126" si="47">(P107*0.4)</f>
        <v>1680</v>
      </c>
      <c r="R107" s="23">
        <v>1140</v>
      </c>
      <c r="S107" s="158">
        <f t="shared" si="45"/>
        <v>456</v>
      </c>
      <c r="T107" s="24">
        <v>1440</v>
      </c>
      <c r="U107" s="52">
        <f t="shared" ref="U107:U126" si="48">(T107*0.4)</f>
        <v>576</v>
      </c>
      <c r="V107" s="90">
        <f t="shared" si="46"/>
        <v>6780</v>
      </c>
      <c r="W107" s="90">
        <f t="shared" ref="W107:W126" si="49">V107*0.4</f>
        <v>2712</v>
      </c>
      <c r="X107" s="110">
        <v>31.2</v>
      </c>
      <c r="Y107" s="160"/>
      <c r="Z107" s="33">
        <f t="shared" si="37"/>
        <v>131040</v>
      </c>
      <c r="AA107" s="33">
        <f t="shared" si="38"/>
        <v>52416</v>
      </c>
      <c r="AB107" s="33">
        <f t="shared" si="39"/>
        <v>35568</v>
      </c>
      <c r="AC107" s="33">
        <f t="shared" si="40"/>
        <v>14227.199999999999</v>
      </c>
      <c r="AD107" s="33">
        <f t="shared" si="41"/>
        <v>44928</v>
      </c>
      <c r="AE107" s="33">
        <f t="shared" si="42"/>
        <v>17971.2</v>
      </c>
      <c r="AF107" s="33">
        <f t="shared" si="43"/>
        <v>211536</v>
      </c>
      <c r="AG107" s="33">
        <f t="shared" si="44"/>
        <v>84614.399999999994</v>
      </c>
    </row>
    <row r="108" spans="1:33" ht="10" customHeight="1">
      <c r="A108" s="81">
        <v>105</v>
      </c>
      <c r="B108" s="129" t="s">
        <v>178</v>
      </c>
      <c r="C108" s="82" t="s">
        <v>0</v>
      </c>
      <c r="D108" s="120" t="s">
        <v>45</v>
      </c>
      <c r="E108" s="82" t="s">
        <v>7</v>
      </c>
      <c r="F108" s="82" t="s">
        <v>3</v>
      </c>
      <c r="G108" s="199" t="str">
        <f>IF(H108="","",IF(ISNUMBER(SEARCH(" ",H108)),LEFT(H108,1)&amp;MID(H108,SEARCH(" ",H108)+1,1)&amp;IFERROR(MID(H108,SEARCH(" ",H108,SEARCH(" ",H108)+1)+1,1),""),LEFT(H108,3)))&amp;IF(I108="","","-"&amp;IF(ISNUMBER(SEARCH(" ",I108)),LEFT(I108,1)&amp;MID(I108,SEARCH(" ",I108)+1,1)&amp;IFERROR(MID(I108,SEARCH(" ",I108,SEARCH(" ",I108)+1)+1,1),""),LEFT(I108,3)))&amp;IF(D108="","","-"&amp;D108)&amp;"-"&amp;TEXT(COUNTIF($H$4:H108,H108),"000")</f>
        <v>ABA-DUL-604-029</v>
      </c>
      <c r="H108" s="82" t="s">
        <v>611</v>
      </c>
      <c r="I108" s="120" t="s">
        <v>626</v>
      </c>
      <c r="J108" s="83" t="s">
        <v>438</v>
      </c>
      <c r="K108" s="84" t="s">
        <v>531</v>
      </c>
      <c r="L108" s="85" t="s">
        <v>135</v>
      </c>
      <c r="M108" s="85" t="s">
        <v>185</v>
      </c>
      <c r="N108" s="85" t="s">
        <v>145</v>
      </c>
      <c r="O108" s="85" t="s">
        <v>561</v>
      </c>
      <c r="P108" s="86">
        <v>0</v>
      </c>
      <c r="Q108" s="87">
        <f t="shared" si="47"/>
        <v>0</v>
      </c>
      <c r="R108" s="23">
        <v>4.5</v>
      </c>
      <c r="S108" s="158">
        <f t="shared" si="45"/>
        <v>1.8</v>
      </c>
      <c r="T108" s="24">
        <v>24</v>
      </c>
      <c r="U108" s="52">
        <v>10</v>
      </c>
      <c r="V108" s="88">
        <f t="shared" si="46"/>
        <v>28.5</v>
      </c>
      <c r="W108" s="88">
        <f t="shared" si="49"/>
        <v>11.4</v>
      </c>
      <c r="X108" s="115">
        <v>103.5</v>
      </c>
      <c r="Y108" s="160"/>
      <c r="Z108" s="89">
        <f t="shared" si="37"/>
        <v>0</v>
      </c>
      <c r="AA108" s="89">
        <f t="shared" si="38"/>
        <v>0</v>
      </c>
      <c r="AB108" s="89">
        <f t="shared" si="39"/>
        <v>465.75</v>
      </c>
      <c r="AC108" s="89">
        <f t="shared" si="40"/>
        <v>186.3</v>
      </c>
      <c r="AD108" s="89">
        <f t="shared" si="41"/>
        <v>2484</v>
      </c>
      <c r="AE108" s="89">
        <f t="shared" si="42"/>
        <v>1035</v>
      </c>
      <c r="AF108" s="89">
        <f t="shared" si="43"/>
        <v>2949.75</v>
      </c>
      <c r="AG108" s="89">
        <f t="shared" si="44"/>
        <v>1179.9000000000001</v>
      </c>
    </row>
    <row r="109" spans="1:33" ht="10" customHeight="1">
      <c r="A109" s="81">
        <v>106</v>
      </c>
      <c r="B109" s="124" t="s">
        <v>178</v>
      </c>
      <c r="C109" s="28" t="s">
        <v>0</v>
      </c>
      <c r="D109" s="28" t="s">
        <v>49</v>
      </c>
      <c r="E109" s="28" t="s">
        <v>10</v>
      </c>
      <c r="F109" s="28" t="s">
        <v>3</v>
      </c>
      <c r="G109" s="199" t="str">
        <f>IF(H109="","",IF(ISNUMBER(SEARCH(" ",H109)),LEFT(H109,1)&amp;MID(H109,SEARCH(" ",H109)+1,1)&amp;IFERROR(MID(H109,SEARCH(" ",H109,SEARCH(" ",H109)+1)+1,1),""),LEFT(H109,3)))&amp;IF(I109="","","-"&amp;IF(ISNUMBER(SEARCH(" ",I109)),LEFT(I109,1)&amp;MID(I109,SEARCH(" ",I109)+1,1)&amp;IFERROR(MID(I109,SEARCH(" ",I109,SEARCH(" ",I109)+1)+1,1),""),LEFT(I109,3)))&amp;IF(D109="","","-"&amp;D109)&amp;"-"&amp;TEXT(COUNTIF($H$4:H109,H109),"000")</f>
        <v>ABA-DR-606-030</v>
      </c>
      <c r="H109" s="82" t="s">
        <v>611</v>
      </c>
      <c r="I109" s="28" t="s">
        <v>625</v>
      </c>
      <c r="J109" s="29" t="s">
        <v>439</v>
      </c>
      <c r="K109" s="30" t="s">
        <v>236</v>
      </c>
      <c r="L109" s="31" t="s">
        <v>153</v>
      </c>
      <c r="M109" s="31" t="s">
        <v>154</v>
      </c>
      <c r="N109" s="31" t="s">
        <v>312</v>
      </c>
      <c r="O109" s="31" t="s">
        <v>516</v>
      </c>
      <c r="P109" s="86">
        <v>4200</v>
      </c>
      <c r="Q109" s="87">
        <f t="shared" si="47"/>
        <v>1680</v>
      </c>
      <c r="R109" s="91">
        <v>0</v>
      </c>
      <c r="S109" s="158">
        <f t="shared" si="45"/>
        <v>0</v>
      </c>
      <c r="T109" s="24">
        <v>1368</v>
      </c>
      <c r="U109" s="52">
        <v>548</v>
      </c>
      <c r="V109" s="90">
        <f t="shared" si="46"/>
        <v>5568</v>
      </c>
      <c r="W109" s="90">
        <f t="shared" si="49"/>
        <v>2227.2000000000003</v>
      </c>
      <c r="X109" s="110">
        <v>4.5</v>
      </c>
      <c r="Y109" s="160"/>
      <c r="Z109" s="33">
        <f t="shared" si="37"/>
        <v>18900</v>
      </c>
      <c r="AA109" s="33">
        <f t="shared" si="38"/>
        <v>7560</v>
      </c>
      <c r="AB109" s="33">
        <f t="shared" si="39"/>
        <v>0</v>
      </c>
      <c r="AC109" s="33">
        <f t="shared" si="40"/>
        <v>0</v>
      </c>
      <c r="AD109" s="33">
        <f t="shared" si="41"/>
        <v>6156</v>
      </c>
      <c r="AE109" s="33">
        <f t="shared" si="42"/>
        <v>2466</v>
      </c>
      <c r="AF109" s="33">
        <f t="shared" si="43"/>
        <v>25056</v>
      </c>
      <c r="AG109" s="33">
        <f t="shared" si="44"/>
        <v>10022.400000000001</v>
      </c>
    </row>
    <row r="110" spans="1:33" ht="10" customHeight="1">
      <c r="A110" s="81">
        <v>107</v>
      </c>
      <c r="B110" s="129" t="s">
        <v>178</v>
      </c>
      <c r="C110" s="82" t="s">
        <v>0</v>
      </c>
      <c r="D110" s="82" t="s">
        <v>52</v>
      </c>
      <c r="E110" s="82" t="s">
        <v>7</v>
      </c>
      <c r="F110" s="82" t="s">
        <v>3</v>
      </c>
      <c r="G110" s="199" t="str">
        <f>IF(H110="","",IF(ISNUMBER(SEARCH(" ",H110)),LEFT(H110,1)&amp;MID(H110,SEARCH(" ",H110)+1,1)&amp;IFERROR(MID(H110,SEARCH(" ",H110,SEARCH(" ",H110)+1)+1,1),""),LEFT(H110,3)))&amp;IF(I110="","","-"&amp;IF(ISNUMBER(SEARCH(" ",I110)),LEFT(I110,1)&amp;MID(I110,SEARCH(" ",I110)+1,1)&amp;IFERROR(MID(I110,SEARCH(" ",I110,SEARCH(" ",I110)+1)+1,1),""),LEFT(I110,3)))&amp;IF(D110="","","-"&amp;D110)&amp;"-"&amp;TEXT(COUNTIF($H$4:H110,H110),"000")</f>
        <v>ABA-FI-608-031</v>
      </c>
      <c r="H110" s="82" t="s">
        <v>611</v>
      </c>
      <c r="I110" s="82" t="s">
        <v>627</v>
      </c>
      <c r="J110" s="83" t="s">
        <v>440</v>
      </c>
      <c r="K110" s="84" t="s">
        <v>532</v>
      </c>
      <c r="L110" s="85" t="s">
        <v>143</v>
      </c>
      <c r="M110" s="85" t="s">
        <v>152</v>
      </c>
      <c r="N110" s="85" t="s">
        <v>143</v>
      </c>
      <c r="O110" s="85" t="s">
        <v>562</v>
      </c>
      <c r="P110" s="86">
        <v>600</v>
      </c>
      <c r="Q110" s="87">
        <f t="shared" si="47"/>
        <v>240</v>
      </c>
      <c r="R110" s="23">
        <v>60</v>
      </c>
      <c r="S110" s="158">
        <f t="shared" si="45"/>
        <v>24</v>
      </c>
      <c r="T110" s="24">
        <v>300</v>
      </c>
      <c r="U110" s="52">
        <f t="shared" si="48"/>
        <v>120</v>
      </c>
      <c r="V110" s="88">
        <f t="shared" si="46"/>
        <v>960</v>
      </c>
      <c r="W110" s="88">
        <f t="shared" si="49"/>
        <v>384</v>
      </c>
      <c r="X110" s="115">
        <v>63</v>
      </c>
      <c r="Y110" s="160"/>
      <c r="Z110" s="89">
        <f t="shared" si="37"/>
        <v>37800</v>
      </c>
      <c r="AA110" s="89">
        <f t="shared" si="38"/>
        <v>15120</v>
      </c>
      <c r="AB110" s="89">
        <f t="shared" si="39"/>
        <v>3780</v>
      </c>
      <c r="AC110" s="89">
        <f t="shared" si="40"/>
        <v>1512</v>
      </c>
      <c r="AD110" s="89">
        <f t="shared" si="41"/>
        <v>18900</v>
      </c>
      <c r="AE110" s="89">
        <f t="shared" si="42"/>
        <v>7560</v>
      </c>
      <c r="AF110" s="89">
        <f t="shared" si="43"/>
        <v>60480</v>
      </c>
      <c r="AG110" s="89">
        <f t="shared" si="44"/>
        <v>24192</v>
      </c>
    </row>
    <row r="111" spans="1:33" ht="10" customHeight="1">
      <c r="A111" s="81">
        <v>108</v>
      </c>
      <c r="B111" s="124" t="s">
        <v>178</v>
      </c>
      <c r="C111" s="28" t="s">
        <v>0</v>
      </c>
      <c r="D111" s="28" t="s">
        <v>52</v>
      </c>
      <c r="E111" s="28" t="s">
        <v>10</v>
      </c>
      <c r="F111" s="28" t="s">
        <v>3</v>
      </c>
      <c r="G111" s="199" t="str">
        <f>IF(H111="","",IF(ISNUMBER(SEARCH(" ",H111)),LEFT(H111,1)&amp;MID(H111,SEARCH(" ",H111)+1,1)&amp;IFERROR(MID(H111,SEARCH(" ",H111,SEARCH(" ",H111)+1)+1,1),""),LEFT(H111,3)))&amp;IF(I111="","","-"&amp;IF(ISNUMBER(SEARCH(" ",I111)),LEFT(I111,1)&amp;MID(I111,SEARCH(" ",I111)+1,1)&amp;IFERROR(MID(I111,SEARCH(" ",I111,SEARCH(" ",I111)+1)+1,1),""),LEFT(I111,3)))&amp;IF(D111="","","-"&amp;D111)&amp;"-"&amp;TEXT(COUNTIF($H$4:H111,H111),"000")</f>
        <v>ABA-FI-608-032</v>
      </c>
      <c r="H111" s="82" t="s">
        <v>611</v>
      </c>
      <c r="I111" s="28" t="s">
        <v>627</v>
      </c>
      <c r="J111" s="29" t="s">
        <v>441</v>
      </c>
      <c r="K111" s="30" t="s">
        <v>237</v>
      </c>
      <c r="L111" s="31" t="s">
        <v>143</v>
      </c>
      <c r="M111" s="31" t="s">
        <v>152</v>
      </c>
      <c r="N111" s="31" t="s">
        <v>143</v>
      </c>
      <c r="O111" s="31" t="s">
        <v>562</v>
      </c>
      <c r="P111" s="86">
        <v>0</v>
      </c>
      <c r="Q111" s="87">
        <f t="shared" si="47"/>
        <v>0</v>
      </c>
      <c r="R111" s="23">
        <v>0</v>
      </c>
      <c r="S111" s="158">
        <f t="shared" si="45"/>
        <v>0</v>
      </c>
      <c r="T111" s="24">
        <v>0</v>
      </c>
      <c r="U111" s="52">
        <f t="shared" si="48"/>
        <v>0</v>
      </c>
      <c r="V111" s="32">
        <f t="shared" si="46"/>
        <v>0</v>
      </c>
      <c r="W111" s="32">
        <f t="shared" si="49"/>
        <v>0</v>
      </c>
      <c r="X111" s="105">
        <v>63</v>
      </c>
      <c r="Y111" s="160"/>
      <c r="Z111" s="33">
        <f t="shared" si="37"/>
        <v>0</v>
      </c>
      <c r="AA111" s="33">
        <f t="shared" si="38"/>
        <v>0</v>
      </c>
      <c r="AB111" s="33">
        <f t="shared" si="39"/>
        <v>0</v>
      </c>
      <c r="AC111" s="33">
        <f t="shared" si="40"/>
        <v>0</v>
      </c>
      <c r="AD111" s="33">
        <f t="shared" si="41"/>
        <v>0</v>
      </c>
      <c r="AE111" s="33">
        <f t="shared" si="42"/>
        <v>0</v>
      </c>
      <c r="AF111" s="33">
        <f t="shared" si="43"/>
        <v>0</v>
      </c>
      <c r="AG111" s="33">
        <f t="shared" si="44"/>
        <v>0</v>
      </c>
    </row>
    <row r="112" spans="1:33" ht="10" customHeight="1">
      <c r="A112" s="81">
        <v>109</v>
      </c>
      <c r="B112" s="129" t="s">
        <v>178</v>
      </c>
      <c r="C112" s="82" t="s">
        <v>0</v>
      </c>
      <c r="D112" s="82" t="s">
        <v>52</v>
      </c>
      <c r="E112" s="82" t="s">
        <v>24</v>
      </c>
      <c r="F112" s="82" t="s">
        <v>3</v>
      </c>
      <c r="G112" s="199" t="str">
        <f>IF(H112="","",IF(ISNUMBER(SEARCH(" ",H112)),LEFT(H112,1)&amp;MID(H112,SEARCH(" ",H112)+1,1)&amp;IFERROR(MID(H112,SEARCH(" ",H112,SEARCH(" ",H112)+1)+1,1),""),LEFT(H112,3)))&amp;IF(I112="","","-"&amp;IF(ISNUMBER(SEARCH(" ",I112)),LEFT(I112,1)&amp;MID(I112,SEARCH(" ",I112)+1,1)&amp;IFERROR(MID(I112,SEARCH(" ",I112,SEARCH(" ",I112)+1)+1,1),""),LEFT(I112,3)))&amp;IF(D112="","","-"&amp;D112)&amp;"-"&amp;TEXT(COUNTIF($H$4:H112,H112),"000")</f>
        <v>ABA-FI-608-033</v>
      </c>
      <c r="H112" s="82" t="s">
        <v>611</v>
      </c>
      <c r="I112" s="82" t="s">
        <v>627</v>
      </c>
      <c r="J112" s="83" t="s">
        <v>442</v>
      </c>
      <c r="K112" s="84" t="s">
        <v>238</v>
      </c>
      <c r="L112" s="85" t="s">
        <v>143</v>
      </c>
      <c r="M112" s="85" t="s">
        <v>152</v>
      </c>
      <c r="N112" s="85" t="s">
        <v>143</v>
      </c>
      <c r="O112" s="85" t="s">
        <v>562</v>
      </c>
      <c r="P112" s="86">
        <v>0</v>
      </c>
      <c r="Q112" s="87">
        <f t="shared" si="47"/>
        <v>0</v>
      </c>
      <c r="R112" s="23">
        <v>0</v>
      </c>
      <c r="S112" s="158">
        <f t="shared" si="45"/>
        <v>0</v>
      </c>
      <c r="T112" s="24">
        <v>0</v>
      </c>
      <c r="U112" s="52">
        <f t="shared" si="48"/>
        <v>0</v>
      </c>
      <c r="V112" s="92">
        <f t="shared" si="46"/>
        <v>0</v>
      </c>
      <c r="W112" s="92">
        <f t="shared" si="49"/>
        <v>0</v>
      </c>
      <c r="X112" s="108">
        <v>58</v>
      </c>
      <c r="Y112" s="160"/>
      <c r="Z112" s="89">
        <f t="shared" si="37"/>
        <v>0</v>
      </c>
      <c r="AA112" s="89">
        <f t="shared" si="38"/>
        <v>0</v>
      </c>
      <c r="AB112" s="89">
        <f t="shared" si="39"/>
        <v>0</v>
      </c>
      <c r="AC112" s="89">
        <f t="shared" si="40"/>
        <v>0</v>
      </c>
      <c r="AD112" s="89">
        <f t="shared" si="41"/>
        <v>0</v>
      </c>
      <c r="AE112" s="89">
        <f t="shared" si="42"/>
        <v>0</v>
      </c>
      <c r="AF112" s="89">
        <f t="shared" si="43"/>
        <v>0</v>
      </c>
      <c r="AG112" s="89">
        <f t="shared" si="44"/>
        <v>0</v>
      </c>
    </row>
    <row r="113" spans="1:33" ht="10" customHeight="1">
      <c r="A113" s="81">
        <v>110</v>
      </c>
      <c r="B113" s="124" t="s">
        <v>178</v>
      </c>
      <c r="C113" s="28" t="s">
        <v>0</v>
      </c>
      <c r="D113" s="28" t="s">
        <v>14</v>
      </c>
      <c r="E113" s="28" t="s">
        <v>24</v>
      </c>
      <c r="F113" s="28" t="s">
        <v>3</v>
      </c>
      <c r="G113" s="199" t="str">
        <f>IF(H113="","",IF(ISNUMBER(SEARCH(" ",H113)),LEFT(H113,1)&amp;MID(H113,SEARCH(" ",H113)+1,1)&amp;IFERROR(MID(H113,SEARCH(" ",H113,SEARCH(" ",H113)+1)+1,1),""),LEFT(H113,3)))&amp;IF(I113="","","-"&amp;IF(ISNUMBER(SEARCH(" ",I113)),LEFT(I113,1)&amp;MID(I113,SEARCH(" ",I113)+1,1)&amp;IFERROR(MID(I113,SEARCH(" ",I113,SEARCH(" ",I113)+1)+1,1),""),LEFT(I113,3)))&amp;IF(D113="","","-"&amp;D113)&amp;"-"&amp;TEXT(COUNTIF($H$4:H113,H113),"000")</f>
        <v>ABA-DUL-610-034</v>
      </c>
      <c r="H113" s="82" t="s">
        <v>611</v>
      </c>
      <c r="I113" s="28" t="s">
        <v>626</v>
      </c>
      <c r="J113" s="29" t="s">
        <v>443</v>
      </c>
      <c r="K113" s="30" t="s">
        <v>239</v>
      </c>
      <c r="L113" s="46" t="s">
        <v>135</v>
      </c>
      <c r="M113" s="31" t="s">
        <v>162</v>
      </c>
      <c r="N113" s="31" t="s">
        <v>334</v>
      </c>
      <c r="O113" s="31" t="s">
        <v>563</v>
      </c>
      <c r="P113" s="86">
        <v>0</v>
      </c>
      <c r="Q113" s="87">
        <f t="shared" si="47"/>
        <v>0</v>
      </c>
      <c r="R113" s="91">
        <v>24</v>
      </c>
      <c r="S113" s="158">
        <f t="shared" si="45"/>
        <v>9.6000000000000014</v>
      </c>
      <c r="T113" s="24">
        <v>36</v>
      </c>
      <c r="U113" s="52">
        <v>15</v>
      </c>
      <c r="V113" s="90">
        <f t="shared" si="46"/>
        <v>60</v>
      </c>
      <c r="W113" s="90">
        <f t="shared" si="49"/>
        <v>24</v>
      </c>
      <c r="X113" s="110">
        <v>58</v>
      </c>
      <c r="Y113" s="160"/>
      <c r="Z113" s="33">
        <f t="shared" si="37"/>
        <v>0</v>
      </c>
      <c r="AA113" s="33">
        <f t="shared" si="38"/>
        <v>0</v>
      </c>
      <c r="AB113" s="33">
        <f t="shared" si="39"/>
        <v>1392</v>
      </c>
      <c r="AC113" s="33">
        <f t="shared" si="40"/>
        <v>556.80000000000007</v>
      </c>
      <c r="AD113" s="33">
        <f t="shared" si="41"/>
        <v>2088</v>
      </c>
      <c r="AE113" s="33">
        <f t="shared" si="42"/>
        <v>870</v>
      </c>
      <c r="AF113" s="33">
        <f t="shared" si="43"/>
        <v>3480</v>
      </c>
      <c r="AG113" s="33">
        <f t="shared" si="44"/>
        <v>1392</v>
      </c>
    </row>
    <row r="114" spans="1:33" ht="10" customHeight="1">
      <c r="A114" s="81">
        <v>111</v>
      </c>
      <c r="B114" s="129" t="s">
        <v>178</v>
      </c>
      <c r="C114" s="82" t="s">
        <v>0</v>
      </c>
      <c r="D114" s="82" t="s">
        <v>67</v>
      </c>
      <c r="E114" s="82" t="s">
        <v>7</v>
      </c>
      <c r="F114" s="82" t="s">
        <v>3</v>
      </c>
      <c r="G114" s="199" t="str">
        <f>IF(H114="","",IF(ISNUMBER(SEARCH(" ",H114)),LEFT(H114,1)&amp;MID(H114,SEARCH(" ",H114)+1,1)&amp;IFERROR(MID(H114,SEARCH(" ",H114,SEARCH(" ",H114)+1)+1,1),""),LEFT(H114,3)))&amp;IF(I114="","","-"&amp;IF(ISNUMBER(SEARCH(" ",I114)),LEFT(I114,1)&amp;MID(I114,SEARCH(" ",I114)+1,1)&amp;IFERROR(MID(I114,SEARCH(" ",I114,SEARCH(" ",I114)+1)+1,1),""),LEFT(I114,3)))&amp;IF(D114="","","-"&amp;D114)&amp;"-"&amp;TEXT(COUNTIF($H$4:H114,H114),"000")</f>
        <v>ABA-JAR-611-035</v>
      </c>
      <c r="H114" s="82" t="s">
        <v>611</v>
      </c>
      <c r="I114" s="82" t="s">
        <v>632</v>
      </c>
      <c r="J114" s="83" t="s">
        <v>444</v>
      </c>
      <c r="K114" s="84" t="s">
        <v>533</v>
      </c>
      <c r="L114" s="93" t="s">
        <v>135</v>
      </c>
      <c r="M114" s="85" t="s">
        <v>186</v>
      </c>
      <c r="N114" s="85" t="s">
        <v>334</v>
      </c>
      <c r="O114" s="85" t="s">
        <v>564</v>
      </c>
      <c r="P114" s="86">
        <v>0</v>
      </c>
      <c r="Q114" s="87">
        <f t="shared" si="47"/>
        <v>0</v>
      </c>
      <c r="R114" s="23">
        <v>3</v>
      </c>
      <c r="S114" s="158">
        <f t="shared" si="45"/>
        <v>1.2000000000000002</v>
      </c>
      <c r="T114" s="24">
        <v>0</v>
      </c>
      <c r="U114" s="52">
        <f t="shared" si="48"/>
        <v>0</v>
      </c>
      <c r="V114" s="88">
        <f t="shared" si="46"/>
        <v>3</v>
      </c>
      <c r="W114" s="88">
        <f t="shared" si="49"/>
        <v>1.2000000000000002</v>
      </c>
      <c r="X114" s="115">
        <v>59</v>
      </c>
      <c r="Y114" s="160"/>
      <c r="Z114" s="89">
        <f t="shared" si="37"/>
        <v>0</v>
      </c>
      <c r="AA114" s="89">
        <f t="shared" si="38"/>
        <v>0</v>
      </c>
      <c r="AB114" s="89">
        <f t="shared" si="39"/>
        <v>177</v>
      </c>
      <c r="AC114" s="89">
        <f t="shared" si="40"/>
        <v>70.800000000000011</v>
      </c>
      <c r="AD114" s="89">
        <f t="shared" si="41"/>
        <v>0</v>
      </c>
      <c r="AE114" s="89">
        <f t="shared" si="42"/>
        <v>0</v>
      </c>
      <c r="AF114" s="89">
        <f t="shared" si="43"/>
        <v>177</v>
      </c>
      <c r="AG114" s="89">
        <f t="shared" si="44"/>
        <v>70.800000000000011</v>
      </c>
    </row>
    <row r="115" spans="1:33" ht="10" customHeight="1">
      <c r="A115" s="81">
        <v>112</v>
      </c>
      <c r="B115" s="124" t="s">
        <v>178</v>
      </c>
      <c r="C115" s="28" t="s">
        <v>0</v>
      </c>
      <c r="D115" s="28" t="s">
        <v>67</v>
      </c>
      <c r="E115" s="28" t="s">
        <v>10</v>
      </c>
      <c r="F115" s="28" t="s">
        <v>3</v>
      </c>
      <c r="G115" s="199" t="str">
        <f>IF(H115="","",IF(ISNUMBER(SEARCH(" ",H115)),LEFT(H115,1)&amp;MID(H115,SEARCH(" ",H115)+1,1)&amp;IFERROR(MID(H115,SEARCH(" ",H115,SEARCH(" ",H115)+1)+1,1),""),LEFT(H115,3)))&amp;IF(I115="","","-"&amp;IF(ISNUMBER(SEARCH(" ",I115)),LEFT(I115,1)&amp;MID(I115,SEARCH(" ",I115)+1,1)&amp;IFERROR(MID(I115,SEARCH(" ",I115,SEARCH(" ",I115)+1)+1,1),""),LEFT(I115,3)))&amp;IF(D115="","","-"&amp;D115)&amp;"-"&amp;TEXT(COUNTIF($H$4:H115,H115),"000")</f>
        <v>ABA-JAR-611-036</v>
      </c>
      <c r="H115" s="82" t="s">
        <v>611</v>
      </c>
      <c r="I115" s="28" t="s">
        <v>632</v>
      </c>
      <c r="J115" s="29" t="s">
        <v>445</v>
      </c>
      <c r="K115" s="30" t="s">
        <v>240</v>
      </c>
      <c r="L115" s="31" t="s">
        <v>135</v>
      </c>
      <c r="M115" s="31" t="s">
        <v>163</v>
      </c>
      <c r="N115" s="31" t="s">
        <v>334</v>
      </c>
      <c r="O115" s="31" t="s">
        <v>565</v>
      </c>
      <c r="P115" s="86">
        <v>12</v>
      </c>
      <c r="Q115" s="87">
        <f t="shared" si="47"/>
        <v>4.8000000000000007</v>
      </c>
      <c r="R115" s="23">
        <v>3</v>
      </c>
      <c r="S115" s="158">
        <f t="shared" si="45"/>
        <v>1.2000000000000002</v>
      </c>
      <c r="T115" s="24">
        <v>4.5</v>
      </c>
      <c r="U115" s="52">
        <v>2</v>
      </c>
      <c r="V115" s="90">
        <f t="shared" si="46"/>
        <v>19.5</v>
      </c>
      <c r="W115" s="90">
        <f t="shared" si="49"/>
        <v>7.8000000000000007</v>
      </c>
      <c r="X115" s="110">
        <v>81</v>
      </c>
      <c r="Y115" s="160"/>
      <c r="Z115" s="33">
        <f t="shared" si="37"/>
        <v>972</v>
      </c>
      <c r="AA115" s="33">
        <f t="shared" si="38"/>
        <v>388.80000000000007</v>
      </c>
      <c r="AB115" s="33">
        <f t="shared" si="39"/>
        <v>243</v>
      </c>
      <c r="AC115" s="33">
        <f t="shared" si="40"/>
        <v>97.200000000000017</v>
      </c>
      <c r="AD115" s="33">
        <f t="shared" si="41"/>
        <v>364.5</v>
      </c>
      <c r="AE115" s="33">
        <f t="shared" si="42"/>
        <v>162</v>
      </c>
      <c r="AF115" s="33">
        <f t="shared" si="43"/>
        <v>1579.5</v>
      </c>
      <c r="AG115" s="33">
        <f t="shared" si="44"/>
        <v>631.80000000000007</v>
      </c>
    </row>
    <row r="116" spans="1:33" ht="10" customHeight="1">
      <c r="A116" s="81">
        <v>113</v>
      </c>
      <c r="B116" s="129" t="s">
        <v>178</v>
      </c>
      <c r="C116" s="82" t="s">
        <v>0</v>
      </c>
      <c r="D116" s="82" t="s">
        <v>67</v>
      </c>
      <c r="E116" s="82" t="s">
        <v>22</v>
      </c>
      <c r="F116" s="82" t="s">
        <v>3</v>
      </c>
      <c r="G116" s="199" t="str">
        <f>IF(H116="","",IF(ISNUMBER(SEARCH(" ",H116)),LEFT(H116,1)&amp;MID(H116,SEARCH(" ",H116)+1,1)&amp;IFERROR(MID(H116,SEARCH(" ",H116,SEARCH(" ",H116)+1)+1,1),""),LEFT(H116,3)))&amp;IF(I116="","","-"&amp;IF(ISNUMBER(SEARCH(" ",I116)),LEFT(I116,1)&amp;MID(I116,SEARCH(" ",I116)+1,1)&amp;IFERROR(MID(I116,SEARCH(" ",I116,SEARCH(" ",I116)+1)+1,1),""),LEFT(I116,3)))&amp;IF(D116="","","-"&amp;D116)&amp;"-"&amp;TEXT(COUNTIF($H$4:H116,H116),"000")</f>
        <v>ABA-JAR-611-037</v>
      </c>
      <c r="H116" s="82" t="s">
        <v>611</v>
      </c>
      <c r="I116" s="82" t="s">
        <v>632</v>
      </c>
      <c r="J116" s="83" t="s">
        <v>446</v>
      </c>
      <c r="K116" s="84" t="s">
        <v>534</v>
      </c>
      <c r="L116" s="85" t="s">
        <v>135</v>
      </c>
      <c r="M116" s="85" t="s">
        <v>163</v>
      </c>
      <c r="N116" s="85" t="s">
        <v>334</v>
      </c>
      <c r="O116" s="85" t="s">
        <v>566</v>
      </c>
      <c r="P116" s="86">
        <v>60</v>
      </c>
      <c r="Q116" s="87">
        <f t="shared" si="47"/>
        <v>24</v>
      </c>
      <c r="R116" s="23">
        <v>4.5</v>
      </c>
      <c r="S116" s="158">
        <f t="shared" si="45"/>
        <v>1.8</v>
      </c>
      <c r="T116" s="24">
        <v>36</v>
      </c>
      <c r="U116" s="52">
        <v>15</v>
      </c>
      <c r="V116" s="88">
        <f t="shared" si="46"/>
        <v>100.5</v>
      </c>
      <c r="W116" s="88">
        <f t="shared" si="49"/>
        <v>40.200000000000003</v>
      </c>
      <c r="X116" s="115">
        <v>70</v>
      </c>
      <c r="Y116" s="160"/>
      <c r="Z116" s="89">
        <f t="shared" si="37"/>
        <v>4200</v>
      </c>
      <c r="AA116" s="89">
        <f t="shared" si="38"/>
        <v>1680</v>
      </c>
      <c r="AB116" s="89">
        <f t="shared" si="39"/>
        <v>315</v>
      </c>
      <c r="AC116" s="89">
        <f t="shared" si="40"/>
        <v>126</v>
      </c>
      <c r="AD116" s="89">
        <f t="shared" si="41"/>
        <v>2520</v>
      </c>
      <c r="AE116" s="89">
        <f t="shared" si="42"/>
        <v>1050</v>
      </c>
      <c r="AF116" s="89">
        <f t="shared" si="43"/>
        <v>7035</v>
      </c>
      <c r="AG116" s="89">
        <f t="shared" si="44"/>
        <v>2814</v>
      </c>
    </row>
    <row r="117" spans="1:33" ht="10" customHeight="1">
      <c r="A117" s="81">
        <v>114</v>
      </c>
      <c r="B117" s="124" t="s">
        <v>178</v>
      </c>
      <c r="C117" s="28" t="s">
        <v>0</v>
      </c>
      <c r="D117" s="28" t="s">
        <v>51</v>
      </c>
      <c r="E117" s="28" t="s">
        <v>50</v>
      </c>
      <c r="F117" s="28" t="s">
        <v>3</v>
      </c>
      <c r="G117" s="199" t="str">
        <f>IF(H117="","",IF(ISNUMBER(SEARCH(" ",H117)),LEFT(H117,1)&amp;MID(H117,SEARCH(" ",H117)+1,1)&amp;IFERROR(MID(H117,SEARCH(" ",H117,SEARCH(" ",H117)+1)+1,1),""),LEFT(H117,3)))&amp;IF(I117="","","-"&amp;IF(ISNUMBER(SEARCH(" ",I117)),LEFT(I117,1)&amp;MID(I117,SEARCH(" ",I117)+1,1)&amp;IFERROR(MID(I117,SEARCH(" ",I117,SEARCH(" ",I117)+1)+1,1),""),LEFT(I117,3)))&amp;IF(D117="","","-"&amp;D117)&amp;"-"&amp;TEXT(COUNTIF($H$4:H117,H117),"000")</f>
        <v>ABA-DR-607-038</v>
      </c>
      <c r="H117" s="82" t="s">
        <v>611</v>
      </c>
      <c r="I117" s="28" t="s">
        <v>625</v>
      </c>
      <c r="J117" s="29" t="s">
        <v>447</v>
      </c>
      <c r="K117" s="30" t="s">
        <v>241</v>
      </c>
      <c r="L117" s="31" t="s">
        <v>153</v>
      </c>
      <c r="M117" s="31" t="s">
        <v>154</v>
      </c>
      <c r="N117" s="31" t="s">
        <v>312</v>
      </c>
      <c r="O117" s="31" t="s">
        <v>516</v>
      </c>
      <c r="P117" s="86">
        <v>18000</v>
      </c>
      <c r="Q117" s="87">
        <f t="shared" si="47"/>
        <v>7200</v>
      </c>
      <c r="R117" s="80">
        <v>240</v>
      </c>
      <c r="S117" s="158">
        <f t="shared" si="45"/>
        <v>96</v>
      </c>
      <c r="T117" s="24">
        <v>1368</v>
      </c>
      <c r="U117" s="52">
        <v>547</v>
      </c>
      <c r="V117" s="90">
        <f t="shared" si="46"/>
        <v>19608</v>
      </c>
      <c r="W117" s="90">
        <f t="shared" si="49"/>
        <v>7843.2000000000007</v>
      </c>
      <c r="X117" s="110">
        <v>3</v>
      </c>
      <c r="Y117" s="160"/>
      <c r="Z117" s="33">
        <f t="shared" si="37"/>
        <v>54000</v>
      </c>
      <c r="AA117" s="33">
        <f t="shared" si="38"/>
        <v>21600</v>
      </c>
      <c r="AB117" s="33">
        <f t="shared" si="39"/>
        <v>720</v>
      </c>
      <c r="AC117" s="33">
        <f t="shared" si="40"/>
        <v>288</v>
      </c>
      <c r="AD117" s="33">
        <f t="shared" si="41"/>
        <v>4104</v>
      </c>
      <c r="AE117" s="33">
        <f t="shared" si="42"/>
        <v>1641</v>
      </c>
      <c r="AF117" s="33">
        <f t="shared" si="43"/>
        <v>58824</v>
      </c>
      <c r="AG117" s="33">
        <f t="shared" si="44"/>
        <v>23529.600000000002</v>
      </c>
    </row>
    <row r="118" spans="1:33" ht="10" customHeight="1">
      <c r="A118" s="81">
        <v>115</v>
      </c>
      <c r="B118" s="129" t="s">
        <v>178</v>
      </c>
      <c r="C118" s="82" t="s">
        <v>0</v>
      </c>
      <c r="D118" s="82" t="s">
        <v>52</v>
      </c>
      <c r="E118" s="82" t="s">
        <v>48</v>
      </c>
      <c r="F118" s="82" t="s">
        <v>3</v>
      </c>
      <c r="G118" s="199" t="str">
        <f>IF(H118="","",IF(ISNUMBER(SEARCH(" ",H118)),LEFT(H118,1)&amp;MID(H118,SEARCH(" ",H118)+1,1)&amp;IFERROR(MID(H118,SEARCH(" ",H118,SEARCH(" ",H118)+1)+1,1),""),LEFT(H118,3)))&amp;IF(I118="","","-"&amp;IF(ISNUMBER(SEARCH(" ",I118)),LEFT(I118,1)&amp;MID(I118,SEARCH(" ",I118)+1,1)&amp;IFERROR(MID(I118,SEARCH(" ",I118,SEARCH(" ",I118)+1)+1,1),""),LEFT(I118,3)))&amp;IF(D118="","","-"&amp;D118)&amp;"-"&amp;TEXT(COUNTIF($H$4:H118,H118),"000")</f>
        <v>ABA-FI-608-039</v>
      </c>
      <c r="H118" s="82" t="s">
        <v>611</v>
      </c>
      <c r="I118" s="82" t="s">
        <v>627</v>
      </c>
      <c r="J118" s="83" t="s">
        <v>448</v>
      </c>
      <c r="K118" s="84" t="s">
        <v>535</v>
      </c>
      <c r="L118" s="85" t="s">
        <v>143</v>
      </c>
      <c r="M118" s="85" t="s">
        <v>152</v>
      </c>
      <c r="N118" s="85" t="s">
        <v>143</v>
      </c>
      <c r="O118" s="85" t="s">
        <v>562</v>
      </c>
      <c r="P118" s="86">
        <v>600</v>
      </c>
      <c r="Q118" s="87">
        <f t="shared" si="47"/>
        <v>240</v>
      </c>
      <c r="R118" s="80">
        <v>60</v>
      </c>
      <c r="S118" s="158">
        <f t="shared" si="45"/>
        <v>24</v>
      </c>
      <c r="T118" s="24">
        <v>36</v>
      </c>
      <c r="U118" s="52">
        <v>15</v>
      </c>
      <c r="V118" s="88">
        <f t="shared" si="46"/>
        <v>696</v>
      </c>
      <c r="W118" s="88">
        <f t="shared" si="49"/>
        <v>278.40000000000003</v>
      </c>
      <c r="X118" s="115">
        <v>68</v>
      </c>
      <c r="Y118" s="160"/>
      <c r="Z118" s="89">
        <f t="shared" si="37"/>
        <v>40800</v>
      </c>
      <c r="AA118" s="89">
        <f t="shared" si="38"/>
        <v>16320</v>
      </c>
      <c r="AB118" s="89">
        <f t="shared" si="39"/>
        <v>4080</v>
      </c>
      <c r="AC118" s="89">
        <f t="shared" si="40"/>
        <v>1632</v>
      </c>
      <c r="AD118" s="89">
        <f t="shared" si="41"/>
        <v>2448</v>
      </c>
      <c r="AE118" s="89">
        <f t="shared" si="42"/>
        <v>1020</v>
      </c>
      <c r="AF118" s="89">
        <f t="shared" si="43"/>
        <v>47328</v>
      </c>
      <c r="AG118" s="89">
        <f t="shared" si="44"/>
        <v>18931.2</v>
      </c>
    </row>
    <row r="119" spans="1:33" ht="10" customHeight="1">
      <c r="A119" s="81">
        <v>116</v>
      </c>
      <c r="B119" s="124" t="s">
        <v>178</v>
      </c>
      <c r="C119" s="28" t="s">
        <v>0</v>
      </c>
      <c r="D119" s="28" t="s">
        <v>52</v>
      </c>
      <c r="E119" s="28" t="s">
        <v>72</v>
      </c>
      <c r="F119" s="28" t="s">
        <v>21</v>
      </c>
      <c r="G119" s="199" t="str">
        <f>IF(H119="","",IF(ISNUMBER(SEARCH(" ",H119)),LEFT(H119,1)&amp;MID(H119,SEARCH(" ",H119)+1,1)&amp;IFERROR(MID(H119,SEARCH(" ",H119,SEARCH(" ",H119)+1)+1,1),""),LEFT(H119,3)))&amp;IF(I119="","","-"&amp;IF(ISNUMBER(SEARCH(" ",I119)),LEFT(I119,1)&amp;MID(I119,SEARCH(" ",I119)+1,1)&amp;IFERROR(MID(I119,SEARCH(" ",I119,SEARCH(" ",I119)+1)+1,1),""),LEFT(I119,3)))&amp;IF(D119="","","-"&amp;D119)&amp;"-"&amp;TEXT(COUNTIF($H$4:H119,H119),"000")</f>
        <v>ABA-FI-608-040</v>
      </c>
      <c r="H119" s="82" t="s">
        <v>611</v>
      </c>
      <c r="I119" s="28" t="s">
        <v>627</v>
      </c>
      <c r="J119" s="29" t="s">
        <v>449</v>
      </c>
      <c r="K119" s="30" t="s">
        <v>536</v>
      </c>
      <c r="L119" s="31" t="s">
        <v>143</v>
      </c>
      <c r="M119" s="31" t="s">
        <v>152</v>
      </c>
      <c r="N119" s="31" t="s">
        <v>143</v>
      </c>
      <c r="O119" s="31" t="s">
        <v>562</v>
      </c>
      <c r="P119" s="86">
        <v>0</v>
      </c>
      <c r="Q119" s="87">
        <f t="shared" si="47"/>
        <v>0</v>
      </c>
      <c r="R119" s="80">
        <v>0</v>
      </c>
      <c r="S119" s="158">
        <f t="shared" si="45"/>
        <v>0</v>
      </c>
      <c r="T119" s="24">
        <v>36</v>
      </c>
      <c r="U119" s="52">
        <v>15</v>
      </c>
      <c r="V119" s="90">
        <f t="shared" si="46"/>
        <v>36</v>
      </c>
      <c r="W119" s="90">
        <f t="shared" si="49"/>
        <v>14.4</v>
      </c>
      <c r="X119" s="110">
        <v>68</v>
      </c>
      <c r="Y119" s="160"/>
      <c r="Z119" s="33">
        <f t="shared" si="37"/>
        <v>0</v>
      </c>
      <c r="AA119" s="33">
        <f t="shared" si="38"/>
        <v>0</v>
      </c>
      <c r="AB119" s="33">
        <f t="shared" si="39"/>
        <v>0</v>
      </c>
      <c r="AC119" s="33">
        <f t="shared" si="40"/>
        <v>0</v>
      </c>
      <c r="AD119" s="33">
        <f t="shared" si="41"/>
        <v>2448</v>
      </c>
      <c r="AE119" s="33">
        <f t="shared" si="42"/>
        <v>1020</v>
      </c>
      <c r="AF119" s="33">
        <f t="shared" si="43"/>
        <v>2448</v>
      </c>
      <c r="AG119" s="33">
        <f t="shared" si="44"/>
        <v>979.2</v>
      </c>
    </row>
    <row r="120" spans="1:33" ht="10" customHeight="1">
      <c r="A120" s="81">
        <v>117</v>
      </c>
      <c r="B120" s="129" t="s">
        <v>178</v>
      </c>
      <c r="C120" s="82" t="s">
        <v>0</v>
      </c>
      <c r="D120" s="82" t="s">
        <v>73</v>
      </c>
      <c r="E120" s="82" t="s">
        <v>16</v>
      </c>
      <c r="F120" s="82" t="s">
        <v>3</v>
      </c>
      <c r="G120" s="199" t="str">
        <f>IF(H120="","",IF(ISNUMBER(SEARCH(" ",H120)),LEFT(H120,1)&amp;MID(H120,SEARCH(" ",H120)+1,1)&amp;IFERROR(MID(H120,SEARCH(" ",H120,SEARCH(" ",H120)+1)+1,1),""),LEFT(H120,3)))&amp;IF(I120="","","-"&amp;IF(ISNUMBER(SEARCH(" ",I120)),LEFT(I120,1)&amp;MID(I120,SEARCH(" ",I120)+1,1)&amp;IFERROR(MID(I120,SEARCH(" ",I120,SEARCH(" ",I120)+1)+1,1),""),LEFT(I120,3)))&amp;IF(D120="","","-"&amp;D120)&amp;"-"&amp;TEXT(COUNTIF($H$4:H120,H120),"000")</f>
        <v>ABA-GEL-609-041</v>
      </c>
      <c r="H120" s="82" t="s">
        <v>611</v>
      </c>
      <c r="I120" s="82" t="s">
        <v>628</v>
      </c>
      <c r="J120" s="83" t="s">
        <v>450</v>
      </c>
      <c r="K120" s="84" t="s">
        <v>242</v>
      </c>
      <c r="L120" s="85" t="s">
        <v>135</v>
      </c>
      <c r="M120" s="85" t="s">
        <v>168</v>
      </c>
      <c r="N120" s="85" t="s">
        <v>335</v>
      </c>
      <c r="O120" s="85" t="s">
        <v>567</v>
      </c>
      <c r="P120" s="86">
        <v>1800</v>
      </c>
      <c r="Q120" s="87">
        <f t="shared" si="47"/>
        <v>720</v>
      </c>
      <c r="R120" s="80">
        <v>120</v>
      </c>
      <c r="S120" s="158">
        <f t="shared" si="45"/>
        <v>48</v>
      </c>
      <c r="T120" s="24">
        <v>72</v>
      </c>
      <c r="U120" s="52">
        <v>29</v>
      </c>
      <c r="V120" s="88">
        <f t="shared" si="46"/>
        <v>1992</v>
      </c>
      <c r="W120" s="88">
        <f t="shared" si="49"/>
        <v>796.80000000000007</v>
      </c>
      <c r="X120" s="115">
        <v>13</v>
      </c>
      <c r="Y120" s="160"/>
      <c r="Z120" s="89">
        <f t="shared" si="37"/>
        <v>23400</v>
      </c>
      <c r="AA120" s="89">
        <f t="shared" si="38"/>
        <v>9360</v>
      </c>
      <c r="AB120" s="89">
        <f t="shared" si="39"/>
        <v>1560</v>
      </c>
      <c r="AC120" s="89">
        <f t="shared" si="40"/>
        <v>624</v>
      </c>
      <c r="AD120" s="89">
        <f t="shared" si="41"/>
        <v>936</v>
      </c>
      <c r="AE120" s="89">
        <f t="shared" si="42"/>
        <v>377</v>
      </c>
      <c r="AF120" s="89">
        <f t="shared" si="43"/>
        <v>25896</v>
      </c>
      <c r="AG120" s="89">
        <f t="shared" si="44"/>
        <v>10358.400000000001</v>
      </c>
    </row>
    <row r="121" spans="1:33" ht="10" customHeight="1">
      <c r="A121" s="81">
        <v>118</v>
      </c>
      <c r="B121" s="124" t="s">
        <v>178</v>
      </c>
      <c r="C121" s="28" t="s">
        <v>0</v>
      </c>
      <c r="D121" s="28" t="s">
        <v>73</v>
      </c>
      <c r="E121" s="28" t="s">
        <v>7</v>
      </c>
      <c r="F121" s="28" t="s">
        <v>3</v>
      </c>
      <c r="G121" s="199" t="str">
        <f>IF(H121="","",IF(ISNUMBER(SEARCH(" ",H121)),LEFT(H121,1)&amp;MID(H121,SEARCH(" ",H121)+1,1)&amp;IFERROR(MID(H121,SEARCH(" ",H121,SEARCH(" ",H121)+1)+1,1),""),LEFT(H121,3)))&amp;IF(I121="","","-"&amp;IF(ISNUMBER(SEARCH(" ",I121)),LEFT(I121,1)&amp;MID(I121,SEARCH(" ",I121)+1,1)&amp;IFERROR(MID(I121,SEARCH(" ",I121,SEARCH(" ",I121)+1)+1,1),""),LEFT(I121,3)))&amp;IF(D121="","","-"&amp;D121)&amp;"-"&amp;TEXT(COUNTIF($H$4:H121,H121),"000")</f>
        <v>ABA-GEL-609-042</v>
      </c>
      <c r="H121" s="82" t="s">
        <v>611</v>
      </c>
      <c r="I121" s="28" t="s">
        <v>628</v>
      </c>
      <c r="J121" s="29" t="s">
        <v>451</v>
      </c>
      <c r="K121" s="30" t="s">
        <v>537</v>
      </c>
      <c r="L121" s="31" t="s">
        <v>135</v>
      </c>
      <c r="M121" s="31" t="s">
        <v>142</v>
      </c>
      <c r="N121" s="31" t="s">
        <v>166</v>
      </c>
      <c r="O121" s="31" t="s">
        <v>568</v>
      </c>
      <c r="P121" s="86">
        <v>2400</v>
      </c>
      <c r="Q121" s="87">
        <f t="shared" si="47"/>
        <v>960</v>
      </c>
      <c r="R121" s="80">
        <v>394.5</v>
      </c>
      <c r="S121" s="158">
        <f t="shared" si="45"/>
        <v>157.80000000000001</v>
      </c>
      <c r="T121" s="24">
        <v>540</v>
      </c>
      <c r="U121" s="52">
        <f t="shared" si="48"/>
        <v>216</v>
      </c>
      <c r="V121" s="90">
        <f t="shared" si="46"/>
        <v>3334.5</v>
      </c>
      <c r="W121" s="90">
        <f t="shared" si="49"/>
        <v>1333.8000000000002</v>
      </c>
      <c r="X121" s="110">
        <v>68</v>
      </c>
      <c r="Y121" s="160"/>
      <c r="Z121" s="33">
        <f t="shared" si="37"/>
        <v>163200</v>
      </c>
      <c r="AA121" s="33">
        <f t="shared" si="38"/>
        <v>65280</v>
      </c>
      <c r="AB121" s="33">
        <f t="shared" si="39"/>
        <v>26826</v>
      </c>
      <c r="AC121" s="33">
        <f t="shared" si="40"/>
        <v>10730.400000000001</v>
      </c>
      <c r="AD121" s="33">
        <f t="shared" si="41"/>
        <v>36720</v>
      </c>
      <c r="AE121" s="33">
        <f t="shared" si="42"/>
        <v>14688</v>
      </c>
      <c r="AF121" s="33">
        <f t="shared" si="43"/>
        <v>226746</v>
      </c>
      <c r="AG121" s="33">
        <f t="shared" si="44"/>
        <v>90698.400000000009</v>
      </c>
    </row>
    <row r="122" spans="1:33" ht="10" customHeight="1">
      <c r="A122" s="81">
        <v>119</v>
      </c>
      <c r="B122" s="129" t="s">
        <v>178</v>
      </c>
      <c r="C122" s="82" t="s">
        <v>0</v>
      </c>
      <c r="D122" s="82" t="s">
        <v>73</v>
      </c>
      <c r="E122" s="82" t="s">
        <v>10</v>
      </c>
      <c r="F122" s="82" t="s">
        <v>21</v>
      </c>
      <c r="G122" s="199" t="str">
        <f>IF(H122="","",IF(ISNUMBER(SEARCH(" ",H122)),LEFT(H122,1)&amp;MID(H122,SEARCH(" ",H122)+1,1)&amp;IFERROR(MID(H122,SEARCH(" ",H122,SEARCH(" ",H122)+1)+1,1),""),LEFT(H122,3)))&amp;IF(I122="","","-"&amp;IF(ISNUMBER(SEARCH(" ",I122)),LEFT(I122,1)&amp;MID(I122,SEARCH(" ",I122)+1,1)&amp;IFERROR(MID(I122,SEARCH(" ",I122,SEARCH(" ",I122)+1)+1,1),""),LEFT(I122,3)))&amp;IF(D122="","","-"&amp;D122)&amp;"-"&amp;TEXT(COUNTIF($H$4:H122,H122),"000")</f>
        <v>ABA-GEL-609-043</v>
      </c>
      <c r="H122" s="82" t="s">
        <v>611</v>
      </c>
      <c r="I122" s="82" t="s">
        <v>628</v>
      </c>
      <c r="J122" s="83" t="s">
        <v>452</v>
      </c>
      <c r="K122" s="84" t="s">
        <v>243</v>
      </c>
      <c r="L122" s="85" t="s">
        <v>135</v>
      </c>
      <c r="M122" s="85" t="s">
        <v>142</v>
      </c>
      <c r="N122" s="85" t="s">
        <v>166</v>
      </c>
      <c r="O122" s="85" t="s">
        <v>568</v>
      </c>
      <c r="P122" s="86">
        <v>36</v>
      </c>
      <c r="Q122" s="87">
        <f t="shared" si="47"/>
        <v>14.4</v>
      </c>
      <c r="R122" s="80">
        <v>0</v>
      </c>
      <c r="S122" s="158">
        <f t="shared" si="45"/>
        <v>0</v>
      </c>
      <c r="T122" s="24">
        <v>180</v>
      </c>
      <c r="U122" s="52">
        <f t="shared" si="48"/>
        <v>72</v>
      </c>
      <c r="V122" s="88">
        <f t="shared" si="46"/>
        <v>216</v>
      </c>
      <c r="W122" s="88">
        <f t="shared" si="49"/>
        <v>86.4</v>
      </c>
      <c r="X122" s="115">
        <v>68</v>
      </c>
      <c r="Y122" s="160"/>
      <c r="Z122" s="89">
        <f t="shared" si="37"/>
        <v>2448</v>
      </c>
      <c r="AA122" s="89">
        <f t="shared" si="38"/>
        <v>979.2</v>
      </c>
      <c r="AB122" s="89">
        <f t="shared" si="39"/>
        <v>0</v>
      </c>
      <c r="AC122" s="89">
        <f t="shared" si="40"/>
        <v>0</v>
      </c>
      <c r="AD122" s="89">
        <f t="shared" si="41"/>
        <v>12240</v>
      </c>
      <c r="AE122" s="89">
        <f t="shared" si="42"/>
        <v>4896</v>
      </c>
      <c r="AF122" s="89">
        <f t="shared" si="43"/>
        <v>14688</v>
      </c>
      <c r="AG122" s="89">
        <f t="shared" si="44"/>
        <v>5875.2000000000007</v>
      </c>
    </row>
    <row r="123" spans="1:33" ht="10" customHeight="1">
      <c r="A123" s="81">
        <v>120</v>
      </c>
      <c r="B123" s="124" t="s">
        <v>178</v>
      </c>
      <c r="C123" s="28" t="s">
        <v>0</v>
      </c>
      <c r="D123" s="28" t="s">
        <v>133</v>
      </c>
      <c r="E123" s="28" t="s">
        <v>134</v>
      </c>
      <c r="F123" s="28" t="s">
        <v>3</v>
      </c>
      <c r="G123" s="199" t="str">
        <f>IF(H123="","",IF(ISNUMBER(SEARCH(" ",H123)),LEFT(H123,1)&amp;MID(H123,SEARCH(" ",H123)+1,1)&amp;IFERROR(MID(H123,SEARCH(" ",H123,SEARCH(" ",H123)+1)+1,1),""),LEFT(H123,3)))&amp;IF(I123="","","-"&amp;IF(ISNUMBER(SEARCH(" ",I123)),LEFT(I123,1)&amp;MID(I123,SEARCH(" ",I123)+1,1)&amp;IFERROR(MID(I123,SEARCH(" ",I123,SEARCH(" ",I123)+1)+1,1),""),LEFT(I123,3)))&amp;IF(D123="","","-"&amp;D123)&amp;"-"&amp;TEXT(COUNTIF($H$4:H123,H123),"000")</f>
        <v>ABA-JUG-602-044</v>
      </c>
      <c r="H123" s="82" t="s">
        <v>611</v>
      </c>
      <c r="I123" s="28" t="s">
        <v>633</v>
      </c>
      <c r="J123" s="29" t="s">
        <v>455</v>
      </c>
      <c r="K123" s="30" t="s">
        <v>673</v>
      </c>
      <c r="L123" s="31" t="s">
        <v>135</v>
      </c>
      <c r="M123" s="31" t="s">
        <v>163</v>
      </c>
      <c r="N123" s="31" t="s">
        <v>336</v>
      </c>
      <c r="O123" s="31" t="s">
        <v>569</v>
      </c>
      <c r="P123" s="86">
        <v>0</v>
      </c>
      <c r="Q123" s="87">
        <f t="shared" si="47"/>
        <v>0</v>
      </c>
      <c r="R123" s="80">
        <v>0</v>
      </c>
      <c r="S123" s="158">
        <f t="shared" si="45"/>
        <v>0</v>
      </c>
      <c r="T123" s="24">
        <v>480</v>
      </c>
      <c r="U123" s="52">
        <f t="shared" si="48"/>
        <v>192</v>
      </c>
      <c r="V123" s="90">
        <f t="shared" si="46"/>
        <v>480</v>
      </c>
      <c r="W123" s="90">
        <f t="shared" si="49"/>
        <v>192</v>
      </c>
      <c r="X123" s="110">
        <v>15</v>
      </c>
      <c r="Y123" s="160"/>
      <c r="Z123" s="33">
        <f t="shared" si="37"/>
        <v>0</v>
      </c>
      <c r="AA123" s="33">
        <f t="shared" si="38"/>
        <v>0</v>
      </c>
      <c r="AB123" s="33">
        <f t="shared" si="39"/>
        <v>0</v>
      </c>
      <c r="AC123" s="33">
        <f t="shared" si="40"/>
        <v>0</v>
      </c>
      <c r="AD123" s="33">
        <f t="shared" si="41"/>
        <v>7200</v>
      </c>
      <c r="AE123" s="33">
        <f t="shared" si="42"/>
        <v>2880</v>
      </c>
      <c r="AF123" s="33">
        <f t="shared" si="43"/>
        <v>7200</v>
      </c>
      <c r="AG123" s="33">
        <f t="shared" si="44"/>
        <v>2880</v>
      </c>
    </row>
    <row r="124" spans="1:33" ht="10" customHeight="1">
      <c r="A124" s="81">
        <v>121</v>
      </c>
      <c r="B124" s="129" t="s">
        <v>178</v>
      </c>
      <c r="C124" s="82" t="s">
        <v>0</v>
      </c>
      <c r="D124" s="82" t="s">
        <v>133</v>
      </c>
      <c r="E124" s="82" t="s">
        <v>134</v>
      </c>
      <c r="F124" s="82" t="s">
        <v>3</v>
      </c>
      <c r="G124" s="199" t="str">
        <f>IF(H124="","",IF(ISNUMBER(SEARCH(" ",H124)),LEFT(H124,1)&amp;MID(H124,SEARCH(" ",H124)+1,1)&amp;IFERROR(MID(H124,SEARCH(" ",H124,SEARCH(" ",H124)+1)+1,1),""),LEFT(H124,3)))&amp;IF(I124="","","-"&amp;IF(ISNUMBER(SEARCH(" ",I124)),LEFT(I124,1)&amp;MID(I124,SEARCH(" ",I124)+1,1)&amp;IFERROR(MID(I124,SEARCH(" ",I124,SEARCH(" ",I124)+1)+1,1),""),LEFT(I124,3)))&amp;IF(D124="","","-"&amp;D124)&amp;"-"&amp;TEXT(COUNTIF($H$4:H124,H124),"000")</f>
        <v>ABA-JUG-602-045</v>
      </c>
      <c r="H124" s="82" t="s">
        <v>611</v>
      </c>
      <c r="I124" s="82" t="s">
        <v>633</v>
      </c>
      <c r="J124" s="83" t="s">
        <v>672</v>
      </c>
      <c r="K124" s="84" t="s">
        <v>674</v>
      </c>
      <c r="L124" s="85" t="s">
        <v>135</v>
      </c>
      <c r="M124" s="85" t="s">
        <v>170</v>
      </c>
      <c r="N124" s="85" t="s">
        <v>336</v>
      </c>
      <c r="O124" s="85" t="s">
        <v>569</v>
      </c>
      <c r="P124" s="86">
        <v>0</v>
      </c>
      <c r="Q124" s="87">
        <f t="shared" si="47"/>
        <v>0</v>
      </c>
      <c r="R124" s="80">
        <v>0</v>
      </c>
      <c r="S124" s="158">
        <f t="shared" si="45"/>
        <v>0</v>
      </c>
      <c r="T124" s="24">
        <v>480</v>
      </c>
      <c r="U124" s="52">
        <f t="shared" si="48"/>
        <v>192</v>
      </c>
      <c r="V124" s="88">
        <f t="shared" si="46"/>
        <v>480</v>
      </c>
      <c r="W124" s="88">
        <f t="shared" si="49"/>
        <v>192</v>
      </c>
      <c r="X124" s="115">
        <v>10</v>
      </c>
      <c r="Y124" s="160"/>
      <c r="Z124" s="89">
        <f t="shared" si="37"/>
        <v>0</v>
      </c>
      <c r="AA124" s="89">
        <f t="shared" si="38"/>
        <v>0</v>
      </c>
      <c r="AB124" s="89">
        <f t="shared" si="39"/>
        <v>0</v>
      </c>
      <c r="AC124" s="89">
        <f t="shared" si="40"/>
        <v>0</v>
      </c>
      <c r="AD124" s="89">
        <f t="shared" si="41"/>
        <v>4800</v>
      </c>
      <c r="AE124" s="89">
        <f t="shared" si="42"/>
        <v>1920</v>
      </c>
      <c r="AF124" s="89">
        <f t="shared" si="43"/>
        <v>4800</v>
      </c>
      <c r="AG124" s="89">
        <f t="shared" si="44"/>
        <v>1920</v>
      </c>
    </row>
    <row r="125" spans="1:33" ht="10" customHeight="1">
      <c r="A125" s="81">
        <v>122</v>
      </c>
      <c r="B125" s="124" t="s">
        <v>178</v>
      </c>
      <c r="C125" s="28" t="s">
        <v>0</v>
      </c>
      <c r="D125" s="28" t="s">
        <v>133</v>
      </c>
      <c r="E125" s="28" t="s">
        <v>64</v>
      </c>
      <c r="F125" s="28" t="s">
        <v>3</v>
      </c>
      <c r="G125" s="199" t="str">
        <f>IF(H125="","",IF(ISNUMBER(SEARCH(" ",H125)),LEFT(H125,1)&amp;MID(H125,SEARCH(" ",H125)+1,1)&amp;IFERROR(MID(H125,SEARCH(" ",H125,SEARCH(" ",H125)+1)+1,1),""),LEFT(H125,3)))&amp;IF(I125="","","-"&amp;IF(ISNUMBER(SEARCH(" ",I125)),LEFT(I125,1)&amp;MID(I125,SEARCH(" ",I125)+1,1)&amp;IFERROR(MID(I125,SEARCH(" ",I125,SEARCH(" ",I125)+1)+1,1),""),LEFT(I125,3)))&amp;IF(D125="","","-"&amp;D125)&amp;"-"&amp;TEXT(COUNTIF($H$4:H125,H125),"000")</f>
        <v>ABA-JUG-602-046</v>
      </c>
      <c r="H125" s="82" t="s">
        <v>611</v>
      </c>
      <c r="I125" s="28" t="s">
        <v>633</v>
      </c>
      <c r="J125" s="29" t="s">
        <v>453</v>
      </c>
      <c r="K125" s="30" t="s">
        <v>244</v>
      </c>
      <c r="L125" s="31" t="s">
        <v>135</v>
      </c>
      <c r="M125" s="31" t="s">
        <v>136</v>
      </c>
      <c r="N125" s="31" t="s">
        <v>336</v>
      </c>
      <c r="O125" s="31" t="s">
        <v>570</v>
      </c>
      <c r="P125" s="86">
        <v>360</v>
      </c>
      <c r="Q125" s="87">
        <f t="shared" si="47"/>
        <v>144</v>
      </c>
      <c r="R125" s="80">
        <v>300</v>
      </c>
      <c r="S125" s="158">
        <f t="shared" si="45"/>
        <v>120</v>
      </c>
      <c r="T125" s="24">
        <v>108</v>
      </c>
      <c r="U125" s="52">
        <f t="shared" si="48"/>
        <v>43.2</v>
      </c>
      <c r="V125" s="90">
        <f t="shared" si="46"/>
        <v>768</v>
      </c>
      <c r="W125" s="90">
        <f t="shared" si="49"/>
        <v>307.20000000000005</v>
      </c>
      <c r="X125" s="110">
        <v>42</v>
      </c>
      <c r="Y125" s="160"/>
      <c r="Z125" s="33">
        <f t="shared" si="37"/>
        <v>15120</v>
      </c>
      <c r="AA125" s="33">
        <f t="shared" si="38"/>
        <v>6048</v>
      </c>
      <c r="AB125" s="33">
        <f t="shared" si="39"/>
        <v>12600</v>
      </c>
      <c r="AC125" s="33">
        <f t="shared" si="40"/>
        <v>5040</v>
      </c>
      <c r="AD125" s="33">
        <f t="shared" si="41"/>
        <v>4536</v>
      </c>
      <c r="AE125" s="33">
        <f t="shared" si="42"/>
        <v>1814.4</v>
      </c>
      <c r="AF125" s="33">
        <f t="shared" si="43"/>
        <v>32256</v>
      </c>
      <c r="AG125" s="33">
        <f t="shared" si="44"/>
        <v>12902.400000000001</v>
      </c>
    </row>
    <row r="126" spans="1:33" ht="10" customHeight="1">
      <c r="A126" s="81">
        <v>123</v>
      </c>
      <c r="B126" s="129" t="s">
        <v>178</v>
      </c>
      <c r="C126" s="82" t="s">
        <v>0</v>
      </c>
      <c r="D126" s="82" t="s">
        <v>133</v>
      </c>
      <c r="E126" s="82" t="s">
        <v>108</v>
      </c>
      <c r="F126" s="82" t="s">
        <v>44</v>
      </c>
      <c r="G126" s="199" t="str">
        <f>IF(H126="","",IF(ISNUMBER(SEARCH(" ",H126)),LEFT(H126,1)&amp;MID(H126,SEARCH(" ",H126)+1,1)&amp;IFERROR(MID(H126,SEARCH(" ",H126,SEARCH(" ",H126)+1)+1,1),""),LEFT(H126,3)))&amp;IF(I126="","","-"&amp;IF(ISNUMBER(SEARCH(" ",I126)),LEFT(I126,1)&amp;MID(I126,SEARCH(" ",I126)+1,1)&amp;IFERROR(MID(I126,SEARCH(" ",I126,SEARCH(" ",I126)+1)+1,1),""),LEFT(I126,3)))&amp;IF(D126="","","-"&amp;D126)&amp;"-"&amp;TEXT(COUNTIF($H$4:H126,H126),"000")</f>
        <v>ABA-JUG-602-047</v>
      </c>
      <c r="H126" s="82" t="s">
        <v>611</v>
      </c>
      <c r="I126" s="82" t="s">
        <v>633</v>
      </c>
      <c r="J126" s="83" t="s">
        <v>454</v>
      </c>
      <c r="K126" s="84" t="s">
        <v>245</v>
      </c>
      <c r="L126" s="85" t="s">
        <v>135</v>
      </c>
      <c r="M126" s="85" t="s">
        <v>187</v>
      </c>
      <c r="N126" s="85" t="s">
        <v>145</v>
      </c>
      <c r="O126" s="85" t="s">
        <v>571</v>
      </c>
      <c r="P126" s="86">
        <v>360</v>
      </c>
      <c r="Q126" s="87">
        <f t="shared" si="47"/>
        <v>144</v>
      </c>
      <c r="R126" s="80">
        <v>0</v>
      </c>
      <c r="S126" s="158">
        <f t="shared" si="45"/>
        <v>0</v>
      </c>
      <c r="T126" s="24">
        <v>0</v>
      </c>
      <c r="U126" s="52">
        <f t="shared" si="48"/>
        <v>0</v>
      </c>
      <c r="V126" s="88">
        <f t="shared" si="46"/>
        <v>360</v>
      </c>
      <c r="W126" s="88">
        <f t="shared" si="49"/>
        <v>144</v>
      </c>
      <c r="X126" s="115">
        <v>11</v>
      </c>
      <c r="Y126" s="160"/>
      <c r="Z126" s="89">
        <f t="shared" si="37"/>
        <v>3960</v>
      </c>
      <c r="AA126" s="89">
        <f t="shared" si="38"/>
        <v>1584</v>
      </c>
      <c r="AB126" s="89">
        <f t="shared" si="39"/>
        <v>0</v>
      </c>
      <c r="AC126" s="89">
        <f t="shared" si="40"/>
        <v>0</v>
      </c>
      <c r="AD126" s="89">
        <f t="shared" si="41"/>
        <v>0</v>
      </c>
      <c r="AE126" s="89">
        <f t="shared" si="42"/>
        <v>0</v>
      </c>
      <c r="AF126" s="89">
        <f t="shared" si="43"/>
        <v>3960</v>
      </c>
      <c r="AG126" s="89">
        <f t="shared" si="44"/>
        <v>1584</v>
      </c>
    </row>
    <row r="127" spans="1:33" ht="10" customHeight="1">
      <c r="A127" s="94">
        <v>124</v>
      </c>
      <c r="B127" s="127" t="s">
        <v>178</v>
      </c>
      <c r="C127" s="61" t="s">
        <v>0</v>
      </c>
      <c r="D127" s="61" t="s">
        <v>1</v>
      </c>
      <c r="E127" s="61" t="s">
        <v>2</v>
      </c>
      <c r="F127" s="61" t="s">
        <v>3</v>
      </c>
      <c r="G127" s="199" t="str">
        <f>IF(H127="","",IF(ISNUMBER(SEARCH(" ",H127)),LEFT(H127,1)&amp;MID(H127,SEARCH(" ",H127)+1,1)&amp;IFERROR(MID(H127,SEARCH(" ",H127,SEARCH(" ",H127)+1)+1,1),""),LEFT(H127,3)))&amp;IF(I127="","","-"&amp;IF(ISNUMBER(SEARCH(" ",I127)),LEFT(I127,1)&amp;MID(I127,SEARCH(" ",I127)+1,1)&amp;IFERROR(MID(I127,SEARCH(" ",I127,SEARCH(" ",I127)+1)+1,1),""),LEFT(I127,3)))&amp;IF(D127="","","-"&amp;D127)&amp;"-"&amp;TEXT(COUNTIF($H$4:H127,H127),"000")</f>
        <v>ABA-ACE-702-048</v>
      </c>
      <c r="H127" s="61" t="s">
        <v>611</v>
      </c>
      <c r="I127" s="61" t="s">
        <v>614</v>
      </c>
      <c r="J127" s="62" t="s">
        <v>456</v>
      </c>
      <c r="K127" s="63" t="s">
        <v>246</v>
      </c>
      <c r="L127" s="64" t="s">
        <v>135</v>
      </c>
      <c r="M127" s="64" t="s">
        <v>136</v>
      </c>
      <c r="N127" s="64" t="s">
        <v>336</v>
      </c>
      <c r="O127" s="64" t="s">
        <v>572</v>
      </c>
      <c r="P127" s="39">
        <v>0</v>
      </c>
      <c r="Q127" s="40">
        <v>0</v>
      </c>
      <c r="R127" s="23">
        <v>0</v>
      </c>
      <c r="S127" s="158">
        <f t="shared" ref="S127:S136" si="50">R127*0.4</f>
        <v>0</v>
      </c>
      <c r="T127" s="24">
        <v>0</v>
      </c>
      <c r="U127" s="52">
        <f>T127*0.4</f>
        <v>0</v>
      </c>
      <c r="V127" s="67">
        <f t="shared" ref="V127:V136" si="51">P127+R127+T127</f>
        <v>0</v>
      </c>
      <c r="W127" s="67">
        <f>V127*0.4</f>
        <v>0</v>
      </c>
      <c r="X127" s="107">
        <v>105</v>
      </c>
      <c r="Y127" s="160"/>
      <c r="Z127" s="68">
        <f t="shared" si="37"/>
        <v>0</v>
      </c>
      <c r="AA127" s="68">
        <f t="shared" si="38"/>
        <v>0</v>
      </c>
      <c r="AB127" s="68">
        <f t="shared" si="39"/>
        <v>0</v>
      </c>
      <c r="AC127" s="68">
        <f t="shared" si="40"/>
        <v>0</v>
      </c>
      <c r="AD127" s="68">
        <f t="shared" si="41"/>
        <v>0</v>
      </c>
      <c r="AE127" s="68">
        <f t="shared" si="42"/>
        <v>0</v>
      </c>
      <c r="AF127" s="68">
        <f t="shared" si="43"/>
        <v>0</v>
      </c>
      <c r="AG127" s="68">
        <f t="shared" si="44"/>
        <v>0</v>
      </c>
    </row>
    <row r="128" spans="1:33" ht="10" customHeight="1">
      <c r="A128" s="94">
        <v>125</v>
      </c>
      <c r="B128" s="124" t="s">
        <v>178</v>
      </c>
      <c r="C128" s="28" t="s">
        <v>0</v>
      </c>
      <c r="D128" s="28" t="s">
        <v>1</v>
      </c>
      <c r="E128" s="28" t="s">
        <v>4</v>
      </c>
      <c r="F128" s="28" t="s">
        <v>21</v>
      </c>
      <c r="G128" s="199" t="str">
        <f>IF(H128="","",IF(ISNUMBER(SEARCH(" ",H128)),LEFT(H128,1)&amp;MID(H128,SEARCH(" ",H128)+1,1)&amp;IFERROR(MID(H128,SEARCH(" ",H128,SEARCH(" ",H128)+1)+1,1),""),LEFT(H128,3)))&amp;IF(I128="","","-"&amp;IF(ISNUMBER(SEARCH(" ",I128)),LEFT(I128,1)&amp;MID(I128,SEARCH(" ",I128)+1,1)&amp;IFERROR(MID(I128,SEARCH(" ",I128,SEARCH(" ",I128)+1)+1,1),""),LEFT(I128,3)))&amp;IF(D128="","","-"&amp;D128)&amp;"-"&amp;TEXT(COUNTIF($H$4:H128,H128),"000")</f>
        <v>ABA-ACE-702-049</v>
      </c>
      <c r="H128" s="61" t="s">
        <v>611</v>
      </c>
      <c r="I128" s="121" t="s">
        <v>614</v>
      </c>
      <c r="J128" s="29" t="s">
        <v>457</v>
      </c>
      <c r="K128" s="30" t="s">
        <v>538</v>
      </c>
      <c r="L128" s="31" t="s">
        <v>135</v>
      </c>
      <c r="M128" s="31" t="s">
        <v>175</v>
      </c>
      <c r="N128" s="31" t="s">
        <v>336</v>
      </c>
      <c r="O128" s="31" t="s">
        <v>573</v>
      </c>
      <c r="P128" s="39">
        <v>4800</v>
      </c>
      <c r="Q128" s="40">
        <f>(P128*0.4)</f>
        <v>1920</v>
      </c>
      <c r="R128" s="23">
        <v>855</v>
      </c>
      <c r="S128" s="158">
        <f t="shared" si="50"/>
        <v>342</v>
      </c>
      <c r="T128" s="24">
        <v>2040</v>
      </c>
      <c r="U128" s="52">
        <f t="shared" ref="U128:U136" si="52">T128*0.4</f>
        <v>816</v>
      </c>
      <c r="V128" s="32">
        <f t="shared" si="51"/>
        <v>7695</v>
      </c>
      <c r="W128" s="32">
        <f>V128*0.4</f>
        <v>3078</v>
      </c>
      <c r="X128" s="110">
        <v>63</v>
      </c>
      <c r="Y128" s="160"/>
      <c r="Z128" s="33">
        <f t="shared" si="37"/>
        <v>302400</v>
      </c>
      <c r="AA128" s="33">
        <f t="shared" si="38"/>
        <v>120960</v>
      </c>
      <c r="AB128" s="33">
        <f t="shared" si="39"/>
        <v>53865</v>
      </c>
      <c r="AC128" s="33">
        <f t="shared" si="40"/>
        <v>21546</v>
      </c>
      <c r="AD128" s="33">
        <f t="shared" si="41"/>
        <v>128520</v>
      </c>
      <c r="AE128" s="33">
        <f t="shared" si="42"/>
        <v>51408</v>
      </c>
      <c r="AF128" s="33">
        <f t="shared" si="43"/>
        <v>484785</v>
      </c>
      <c r="AG128" s="33">
        <f t="shared" si="44"/>
        <v>193914</v>
      </c>
    </row>
    <row r="129" spans="1:33" ht="10" customHeight="1">
      <c r="A129" s="94">
        <v>126</v>
      </c>
      <c r="B129" s="127" t="s">
        <v>178</v>
      </c>
      <c r="C129" s="61" t="s">
        <v>0</v>
      </c>
      <c r="D129" s="61" t="s">
        <v>1</v>
      </c>
      <c r="E129" s="61" t="s">
        <v>5</v>
      </c>
      <c r="F129" s="61" t="s">
        <v>3</v>
      </c>
      <c r="G129" s="199" t="str">
        <f>IF(H129="","",IF(ISNUMBER(SEARCH(" ",H129)),LEFT(H129,1)&amp;MID(H129,SEARCH(" ",H129)+1,1)&amp;IFERROR(MID(H129,SEARCH(" ",H129,SEARCH(" ",H129)+1)+1,1),""),LEFT(H129,3)))&amp;IF(I129="","","-"&amp;IF(ISNUMBER(SEARCH(" ",I129)),LEFT(I129,1)&amp;MID(I129,SEARCH(" ",I129)+1,1)&amp;IFERROR(MID(I129,SEARCH(" ",I129,SEARCH(" ",I129)+1)+1,1),""),LEFT(I129,3)))&amp;IF(D129="","","-"&amp;D129)&amp;"-"&amp;TEXT(COUNTIF($H$4:H129,H129),"000")</f>
        <v>ABA-ACE-702-050</v>
      </c>
      <c r="H129" s="61" t="s">
        <v>611</v>
      </c>
      <c r="I129" s="61" t="s">
        <v>614</v>
      </c>
      <c r="J129" s="62" t="s">
        <v>458</v>
      </c>
      <c r="K129" s="63" t="s">
        <v>247</v>
      </c>
      <c r="L129" s="64" t="s">
        <v>135</v>
      </c>
      <c r="M129" s="64" t="s">
        <v>136</v>
      </c>
      <c r="N129" s="64" t="s">
        <v>336</v>
      </c>
      <c r="O129" s="64" t="s">
        <v>574</v>
      </c>
      <c r="P129" s="39">
        <v>144</v>
      </c>
      <c r="Q129" s="40">
        <f t="shared" ref="Q129:Q136" si="53">(P129*0.4)</f>
        <v>57.6</v>
      </c>
      <c r="R129" s="23">
        <v>9</v>
      </c>
      <c r="S129" s="158">
        <f t="shared" si="50"/>
        <v>3.6</v>
      </c>
      <c r="T129" s="24">
        <v>24</v>
      </c>
      <c r="U129" s="52">
        <v>10</v>
      </c>
      <c r="V129" s="67">
        <f t="shared" si="51"/>
        <v>177</v>
      </c>
      <c r="W129" s="67">
        <f t="shared" ref="W129:W136" si="54">V129*0.4</f>
        <v>70.8</v>
      </c>
      <c r="X129" s="113">
        <v>126</v>
      </c>
      <c r="Y129" s="160"/>
      <c r="Z129" s="68">
        <f t="shared" si="37"/>
        <v>18144</v>
      </c>
      <c r="AA129" s="68">
        <f t="shared" si="38"/>
        <v>7257.6</v>
      </c>
      <c r="AB129" s="68">
        <f t="shared" si="39"/>
        <v>1134</v>
      </c>
      <c r="AC129" s="68">
        <f t="shared" si="40"/>
        <v>453.6</v>
      </c>
      <c r="AD129" s="68">
        <f t="shared" si="41"/>
        <v>3024</v>
      </c>
      <c r="AE129" s="68">
        <f t="shared" si="42"/>
        <v>1260</v>
      </c>
      <c r="AF129" s="68">
        <f t="shared" si="43"/>
        <v>22302</v>
      </c>
      <c r="AG129" s="68">
        <f t="shared" si="44"/>
        <v>8920.7999999999993</v>
      </c>
    </row>
    <row r="130" spans="1:33" ht="10" customHeight="1">
      <c r="A130" s="94">
        <v>127</v>
      </c>
      <c r="B130" s="124" t="s">
        <v>178</v>
      </c>
      <c r="C130" s="28" t="s">
        <v>0</v>
      </c>
      <c r="D130" s="28" t="s">
        <v>6</v>
      </c>
      <c r="E130" s="28" t="s">
        <v>7</v>
      </c>
      <c r="F130" s="28" t="s">
        <v>17</v>
      </c>
      <c r="G130" s="199" t="str">
        <f>IF(H130="","",IF(ISNUMBER(SEARCH(" ",H130)),LEFT(H130,1)&amp;MID(H130,SEARCH(" ",H130)+1,1)&amp;IFERROR(MID(H130,SEARCH(" ",H130,SEARCH(" ",H130)+1)+1,1),""),LEFT(H130,3)))&amp;IF(I130="","","-"&amp;IF(ISNUMBER(SEARCH(" ",I130)),LEFT(I130,1)&amp;MID(I130,SEARCH(" ",I130)+1,1)&amp;IFERROR(MID(I130,SEARCH(" ",I130,SEARCH(" ",I130)+1)+1,1),""),LEFT(I130,3)))&amp;IF(D130="","","-"&amp;D130)&amp;"-"&amp;TEXT(COUNTIF($H$4:H130,H130),"000")</f>
        <v>ABA-VI-704-051</v>
      </c>
      <c r="H130" s="61" t="s">
        <v>611</v>
      </c>
      <c r="I130" s="28" t="s">
        <v>662</v>
      </c>
      <c r="J130" s="29" t="s">
        <v>465</v>
      </c>
      <c r="K130" s="30" t="s">
        <v>248</v>
      </c>
      <c r="L130" s="31" t="s">
        <v>135</v>
      </c>
      <c r="M130" s="31" t="s">
        <v>189</v>
      </c>
      <c r="N130" s="31" t="s">
        <v>334</v>
      </c>
      <c r="O130" s="31" t="s">
        <v>575</v>
      </c>
      <c r="P130" s="39">
        <v>0</v>
      </c>
      <c r="Q130" s="40">
        <f t="shared" si="53"/>
        <v>0</v>
      </c>
      <c r="R130" s="23">
        <v>0</v>
      </c>
      <c r="S130" s="158">
        <f t="shared" si="50"/>
        <v>0</v>
      </c>
      <c r="T130" s="24">
        <v>0</v>
      </c>
      <c r="U130" s="52">
        <f t="shared" si="52"/>
        <v>0</v>
      </c>
      <c r="V130" s="32">
        <f t="shared" si="51"/>
        <v>0</v>
      </c>
      <c r="W130" s="32">
        <f t="shared" si="54"/>
        <v>0</v>
      </c>
      <c r="X130" s="105">
        <v>19.2</v>
      </c>
      <c r="Y130" s="160"/>
      <c r="Z130" s="33">
        <f t="shared" si="37"/>
        <v>0</v>
      </c>
      <c r="AA130" s="33">
        <f t="shared" si="38"/>
        <v>0</v>
      </c>
      <c r="AB130" s="33">
        <f t="shared" si="39"/>
        <v>0</v>
      </c>
      <c r="AC130" s="33">
        <f t="shared" si="40"/>
        <v>0</v>
      </c>
      <c r="AD130" s="33">
        <f t="shared" si="41"/>
        <v>0</v>
      </c>
      <c r="AE130" s="33">
        <f t="shared" si="42"/>
        <v>0</v>
      </c>
      <c r="AF130" s="33">
        <f t="shared" si="43"/>
        <v>0</v>
      </c>
      <c r="AG130" s="33">
        <f t="shared" si="44"/>
        <v>0</v>
      </c>
    </row>
    <row r="131" spans="1:33" ht="10" customHeight="1">
      <c r="A131" s="94">
        <v>128</v>
      </c>
      <c r="B131" s="127" t="s">
        <v>178</v>
      </c>
      <c r="C131" s="61" t="s">
        <v>0</v>
      </c>
      <c r="D131" s="61" t="s">
        <v>9</v>
      </c>
      <c r="E131" s="61" t="s">
        <v>10</v>
      </c>
      <c r="F131" s="61" t="s">
        <v>3</v>
      </c>
      <c r="G131" s="199" t="str">
        <f>IF(H131="","",IF(ISNUMBER(SEARCH(" ",H131)),LEFT(H131,1)&amp;MID(H131,SEARCH(" ",H131)+1,1)&amp;IFERROR(MID(H131,SEARCH(" ",H131,SEARCH(" ",H131)+1)+1,1),""),LEFT(H131,3)))&amp;IF(I131="","","-"&amp;IF(ISNUMBER(SEARCH(" ",I131)),LEFT(I131,1)&amp;MID(I131,SEARCH(" ",I131)+1,1)&amp;IFERROR(MID(I131,SEARCH(" ",I131,SEARCH(" ",I131)+1)+1,1),""),LEFT(I131,3)))&amp;IF(D131="","","-"&amp;D131)&amp;"-"&amp;TEXT(COUNTIF($H$4:H131,H131),"000")</f>
        <v>ABA-CS-802-052</v>
      </c>
      <c r="H131" s="61" t="s">
        <v>611</v>
      </c>
      <c r="I131" s="61" t="s">
        <v>623</v>
      </c>
      <c r="J131" s="62" t="s">
        <v>459</v>
      </c>
      <c r="K131" s="63" t="s">
        <v>249</v>
      </c>
      <c r="L131" s="64" t="s">
        <v>135</v>
      </c>
      <c r="M131" s="64" t="s">
        <v>138</v>
      </c>
      <c r="N131" s="64" t="s">
        <v>166</v>
      </c>
      <c r="O131" s="64" t="s">
        <v>516</v>
      </c>
      <c r="P131" s="39">
        <v>0</v>
      </c>
      <c r="Q131" s="40">
        <f t="shared" si="53"/>
        <v>0</v>
      </c>
      <c r="R131" s="23">
        <v>0</v>
      </c>
      <c r="S131" s="158">
        <f t="shared" si="50"/>
        <v>0</v>
      </c>
      <c r="T131" s="24">
        <v>3</v>
      </c>
      <c r="U131" s="52">
        <v>1</v>
      </c>
      <c r="V131" s="67">
        <f t="shared" si="51"/>
        <v>3</v>
      </c>
      <c r="W131" s="67">
        <f t="shared" si="54"/>
        <v>1.2000000000000002</v>
      </c>
      <c r="X131" s="113">
        <v>19.3</v>
      </c>
      <c r="Y131" s="160"/>
      <c r="Z131" s="68">
        <f t="shared" si="37"/>
        <v>0</v>
      </c>
      <c r="AA131" s="68">
        <f t="shared" si="38"/>
        <v>0</v>
      </c>
      <c r="AB131" s="68">
        <f t="shared" si="39"/>
        <v>0</v>
      </c>
      <c r="AC131" s="68">
        <f t="shared" si="40"/>
        <v>0</v>
      </c>
      <c r="AD131" s="68">
        <f t="shared" si="41"/>
        <v>57.900000000000006</v>
      </c>
      <c r="AE131" s="68">
        <f t="shared" si="42"/>
        <v>19.3</v>
      </c>
      <c r="AF131" s="68">
        <f t="shared" si="43"/>
        <v>57.900000000000006</v>
      </c>
      <c r="AG131" s="68">
        <f t="shared" si="44"/>
        <v>23.160000000000004</v>
      </c>
    </row>
    <row r="132" spans="1:33" ht="10" customHeight="1">
      <c r="A132" s="94">
        <v>129</v>
      </c>
      <c r="B132" s="124" t="s">
        <v>178</v>
      </c>
      <c r="C132" s="28" t="s">
        <v>0</v>
      </c>
      <c r="D132" s="28" t="s">
        <v>6</v>
      </c>
      <c r="E132" s="28" t="s">
        <v>10</v>
      </c>
      <c r="F132" s="28" t="s">
        <v>3</v>
      </c>
      <c r="G132" s="199" t="str">
        <f>IF(H132="","",IF(ISNUMBER(SEARCH(" ",H132)),LEFT(H132,1)&amp;MID(H132,SEARCH(" ",H132)+1,1)&amp;IFERROR(MID(H132,SEARCH(" ",H132,SEARCH(" ",H132)+1)+1,1),""),LEFT(H132,3)))&amp;IF(I132="","","-"&amp;IF(ISNUMBER(SEARCH(" ",I132)),LEFT(I132,1)&amp;MID(I132,SEARCH(" ",I132)+1,1)&amp;IFERROR(MID(I132,SEARCH(" ",I132,SEARCH(" ",I132)+1)+1,1),""),LEFT(I132,3)))&amp;IF(D132="","","-"&amp;D132)&amp;"-"&amp;TEXT(COUNTIF($H$4:H132,H132),"000")</f>
        <v>ABA-CS-704-053</v>
      </c>
      <c r="H132" s="61" t="s">
        <v>611</v>
      </c>
      <c r="I132" s="28" t="s">
        <v>623</v>
      </c>
      <c r="J132" s="29" t="s">
        <v>460</v>
      </c>
      <c r="K132" s="30" t="s">
        <v>250</v>
      </c>
      <c r="L132" s="31" t="s">
        <v>141</v>
      </c>
      <c r="M132" s="31" t="s">
        <v>140</v>
      </c>
      <c r="N132" s="31" t="s">
        <v>166</v>
      </c>
      <c r="O132" s="31" t="s">
        <v>516</v>
      </c>
      <c r="P132" s="39">
        <v>0</v>
      </c>
      <c r="Q132" s="40">
        <f t="shared" si="53"/>
        <v>0</v>
      </c>
      <c r="R132" s="23">
        <v>0</v>
      </c>
      <c r="S132" s="158">
        <f t="shared" si="50"/>
        <v>0</v>
      </c>
      <c r="T132" s="24">
        <v>0</v>
      </c>
      <c r="U132" s="52">
        <f t="shared" si="52"/>
        <v>0</v>
      </c>
      <c r="V132" s="32">
        <f t="shared" si="51"/>
        <v>0</v>
      </c>
      <c r="W132" s="32">
        <f t="shared" si="54"/>
        <v>0</v>
      </c>
      <c r="X132" s="105">
        <v>188</v>
      </c>
      <c r="Y132" s="160"/>
      <c r="Z132" s="33">
        <f t="shared" ref="Z132:Z163" si="55">X132*P132</f>
        <v>0</v>
      </c>
      <c r="AA132" s="33">
        <f t="shared" ref="AA132:AA163" si="56">X132*Q132</f>
        <v>0</v>
      </c>
      <c r="AB132" s="33">
        <f t="shared" ref="AB132:AB163" si="57">X132*R132</f>
        <v>0</v>
      </c>
      <c r="AC132" s="33">
        <f t="shared" ref="AC132:AC163" si="58">X132*S132</f>
        <v>0</v>
      </c>
      <c r="AD132" s="33">
        <f t="shared" ref="AD132:AD163" si="59">X132*T132</f>
        <v>0</v>
      </c>
      <c r="AE132" s="33">
        <f t="shared" ref="AE132:AE163" si="60">X132*U132</f>
        <v>0</v>
      </c>
      <c r="AF132" s="33">
        <f t="shared" ref="AF132:AF163" si="61">X132*V132</f>
        <v>0</v>
      </c>
      <c r="AG132" s="33">
        <f t="shared" ref="AG132:AG163" si="62">X132*W132</f>
        <v>0</v>
      </c>
    </row>
    <row r="133" spans="1:33" ht="10" customHeight="1">
      <c r="A133" s="94">
        <v>130</v>
      </c>
      <c r="B133" s="127" t="s">
        <v>178</v>
      </c>
      <c r="C133" s="61" t="s">
        <v>0</v>
      </c>
      <c r="D133" s="61" t="s">
        <v>6</v>
      </c>
      <c r="E133" s="61" t="s">
        <v>24</v>
      </c>
      <c r="F133" s="61" t="s">
        <v>3</v>
      </c>
      <c r="G133" s="199" t="str">
        <f>IF(H133="","",IF(ISNUMBER(SEARCH(" ",H133)),LEFT(H133,1)&amp;MID(H133,SEARCH(" ",H133)+1,1)&amp;IFERROR(MID(H133,SEARCH(" ",H133,SEARCH(" ",H133)+1)+1,1),""),LEFT(H133,3)))&amp;IF(I133="","","-"&amp;IF(ISNUMBER(SEARCH(" ",I133)),LEFT(I133,1)&amp;MID(I133,SEARCH(" ",I133)+1,1)&amp;IFERROR(MID(I133,SEARCH(" ",I133,SEARCH(" ",I133)+1)+1,1),""),LEFT(I133,3)))&amp;IF(D133="","","-"&amp;D133)&amp;"-"&amp;TEXT(COUNTIF($H$4:H133,H133),"000")</f>
        <v>ABA-CS-704-054</v>
      </c>
      <c r="H133" s="61" t="s">
        <v>611</v>
      </c>
      <c r="I133" s="61" t="s">
        <v>623</v>
      </c>
      <c r="J133" s="62" t="s">
        <v>461</v>
      </c>
      <c r="K133" s="63" t="s">
        <v>539</v>
      </c>
      <c r="L133" s="64" t="s">
        <v>141</v>
      </c>
      <c r="M133" s="64" t="s">
        <v>174</v>
      </c>
      <c r="N133" s="64" t="s">
        <v>166</v>
      </c>
      <c r="O133" s="64" t="s">
        <v>516</v>
      </c>
      <c r="P133" s="39">
        <v>60</v>
      </c>
      <c r="Q133" s="40">
        <f t="shared" si="53"/>
        <v>24</v>
      </c>
      <c r="R133" s="23">
        <v>0</v>
      </c>
      <c r="S133" s="158">
        <f t="shared" si="50"/>
        <v>0</v>
      </c>
      <c r="T133" s="24">
        <v>24</v>
      </c>
      <c r="U133" s="52">
        <v>10</v>
      </c>
      <c r="V133" s="67">
        <f t="shared" si="51"/>
        <v>84</v>
      </c>
      <c r="W133" s="67">
        <f t="shared" si="54"/>
        <v>33.6</v>
      </c>
      <c r="X133" s="113">
        <v>49</v>
      </c>
      <c r="Y133" s="160"/>
      <c r="Z133" s="68">
        <f t="shared" si="55"/>
        <v>2940</v>
      </c>
      <c r="AA133" s="68">
        <f t="shared" si="56"/>
        <v>1176</v>
      </c>
      <c r="AB133" s="68">
        <f t="shared" si="57"/>
        <v>0</v>
      </c>
      <c r="AC133" s="68">
        <f t="shared" si="58"/>
        <v>0</v>
      </c>
      <c r="AD133" s="68">
        <f t="shared" si="59"/>
        <v>1176</v>
      </c>
      <c r="AE133" s="68">
        <f t="shared" si="60"/>
        <v>490</v>
      </c>
      <c r="AF133" s="68">
        <f t="shared" si="61"/>
        <v>4116</v>
      </c>
      <c r="AG133" s="68">
        <f t="shared" si="62"/>
        <v>1646.4</v>
      </c>
    </row>
    <row r="134" spans="1:33" ht="10" customHeight="1">
      <c r="A134" s="94">
        <v>131</v>
      </c>
      <c r="B134" s="124" t="s">
        <v>178</v>
      </c>
      <c r="C134" s="28" t="s">
        <v>0</v>
      </c>
      <c r="D134" s="28" t="s">
        <v>176</v>
      </c>
      <c r="E134" s="28" t="s">
        <v>7</v>
      </c>
      <c r="F134" s="28" t="s">
        <v>342</v>
      </c>
      <c r="G134" s="199" t="str">
        <f>IF(H134="","",IF(ISNUMBER(SEARCH(" ",H134)),LEFT(H134,1)&amp;MID(H134,SEARCH(" ",H134)+1,1)&amp;IFERROR(MID(H134,SEARCH(" ",H134,SEARCH(" ",H134)+1)+1,1),""),LEFT(H134,3)))&amp;IF(I134="","","-"&amp;IF(ISNUMBER(SEARCH(" ",I134)),LEFT(I134,1)&amp;MID(I134,SEARCH(" ",I134)+1,1)&amp;IFERROR(MID(I134,SEARCH(" ",I134,SEARCH(" ",I134)+1)+1,1),""),LEFT(I134,3)))&amp;IF(D134="","","-"&amp;D134)&amp;"-"&amp;TEXT(COUNTIF($H$4:H134,H134),"000")</f>
        <v>ABA-GRA-703-055</v>
      </c>
      <c r="H134" s="61" t="s">
        <v>611</v>
      </c>
      <c r="I134" s="28" t="s">
        <v>629</v>
      </c>
      <c r="J134" s="29" t="s">
        <v>462</v>
      </c>
      <c r="K134" s="30" t="s">
        <v>310</v>
      </c>
      <c r="L134" s="31" t="s">
        <v>146</v>
      </c>
      <c r="M134" s="31" t="s">
        <v>177</v>
      </c>
      <c r="N134" s="31" t="s">
        <v>334</v>
      </c>
      <c r="O134" s="31" t="s">
        <v>576</v>
      </c>
      <c r="P134" s="39">
        <v>600</v>
      </c>
      <c r="Q134" s="40">
        <f t="shared" si="53"/>
        <v>240</v>
      </c>
      <c r="R134" s="23">
        <v>225</v>
      </c>
      <c r="S134" s="158">
        <f t="shared" si="50"/>
        <v>90</v>
      </c>
      <c r="T134" s="24">
        <v>360</v>
      </c>
      <c r="U134" s="52">
        <f t="shared" si="52"/>
        <v>144</v>
      </c>
      <c r="V134" s="32">
        <f t="shared" si="51"/>
        <v>1185</v>
      </c>
      <c r="W134" s="32">
        <f t="shared" si="54"/>
        <v>474</v>
      </c>
      <c r="X134" s="110">
        <v>77</v>
      </c>
      <c r="Y134" s="160"/>
      <c r="Z134" s="33">
        <f t="shared" si="55"/>
        <v>46200</v>
      </c>
      <c r="AA134" s="33">
        <f t="shared" si="56"/>
        <v>18480</v>
      </c>
      <c r="AB134" s="33">
        <f t="shared" si="57"/>
        <v>17325</v>
      </c>
      <c r="AC134" s="33">
        <f t="shared" si="58"/>
        <v>6930</v>
      </c>
      <c r="AD134" s="33">
        <f t="shared" si="59"/>
        <v>27720</v>
      </c>
      <c r="AE134" s="33">
        <f t="shared" si="60"/>
        <v>11088</v>
      </c>
      <c r="AF134" s="33">
        <f t="shared" si="61"/>
        <v>91245</v>
      </c>
      <c r="AG134" s="33">
        <f t="shared" si="62"/>
        <v>36498</v>
      </c>
    </row>
    <row r="135" spans="1:33" ht="10" customHeight="1">
      <c r="A135" s="94">
        <v>132</v>
      </c>
      <c r="B135" s="127" t="s">
        <v>178</v>
      </c>
      <c r="C135" s="61" t="s">
        <v>0</v>
      </c>
      <c r="D135" s="61" t="s">
        <v>176</v>
      </c>
      <c r="E135" s="61" t="s">
        <v>7</v>
      </c>
      <c r="F135" s="61" t="s">
        <v>21</v>
      </c>
      <c r="G135" s="199" t="str">
        <f>IF(H135="","",IF(ISNUMBER(SEARCH(" ",H135)),LEFT(H135,1)&amp;MID(H135,SEARCH(" ",H135)+1,1)&amp;IFERROR(MID(H135,SEARCH(" ",H135,SEARCH(" ",H135)+1)+1,1),""),LEFT(H135,3)))&amp;IF(I135="","","-"&amp;IF(ISNUMBER(SEARCH(" ",I135)),LEFT(I135,1)&amp;MID(I135,SEARCH(" ",I135)+1,1)&amp;IFERROR(MID(I135,SEARCH(" ",I135,SEARCH(" ",I135)+1)+1,1),""),LEFT(I135,3)))&amp;IF(D135="","","-"&amp;D135)&amp;"-"&amp;TEXT(COUNTIF($H$4:H135,H135),"000")</f>
        <v>ABA-GRA-703-056</v>
      </c>
      <c r="H135" s="61" t="s">
        <v>611</v>
      </c>
      <c r="I135" s="61" t="s">
        <v>629</v>
      </c>
      <c r="J135" s="62" t="s">
        <v>463</v>
      </c>
      <c r="K135" s="63" t="s">
        <v>309</v>
      </c>
      <c r="L135" s="64" t="s">
        <v>146</v>
      </c>
      <c r="M135" s="64" t="s">
        <v>188</v>
      </c>
      <c r="N135" s="64" t="s">
        <v>334</v>
      </c>
      <c r="O135" s="64" t="s">
        <v>576</v>
      </c>
      <c r="P135" s="39">
        <v>0</v>
      </c>
      <c r="Q135" s="40">
        <f t="shared" si="53"/>
        <v>0</v>
      </c>
      <c r="R135" s="23">
        <v>0</v>
      </c>
      <c r="S135" s="158">
        <f t="shared" si="50"/>
        <v>0</v>
      </c>
      <c r="T135" s="24">
        <v>0</v>
      </c>
      <c r="U135" s="52">
        <f t="shared" si="52"/>
        <v>0</v>
      </c>
      <c r="V135" s="67">
        <f t="shared" si="51"/>
        <v>0</v>
      </c>
      <c r="W135" s="67">
        <f t="shared" si="54"/>
        <v>0</v>
      </c>
      <c r="X135" s="107">
        <v>138</v>
      </c>
      <c r="Y135" s="160"/>
      <c r="Z135" s="68">
        <f t="shared" si="55"/>
        <v>0</v>
      </c>
      <c r="AA135" s="68">
        <f t="shared" si="56"/>
        <v>0</v>
      </c>
      <c r="AB135" s="68">
        <f t="shared" si="57"/>
        <v>0</v>
      </c>
      <c r="AC135" s="68">
        <f t="shared" si="58"/>
        <v>0</v>
      </c>
      <c r="AD135" s="68">
        <f t="shared" si="59"/>
        <v>0</v>
      </c>
      <c r="AE135" s="68">
        <f t="shared" si="60"/>
        <v>0</v>
      </c>
      <c r="AF135" s="68">
        <f t="shared" si="61"/>
        <v>0</v>
      </c>
      <c r="AG135" s="68">
        <f t="shared" si="62"/>
        <v>0</v>
      </c>
    </row>
    <row r="136" spans="1:33" ht="10" customHeight="1">
      <c r="A136" s="94">
        <v>133</v>
      </c>
      <c r="B136" s="124" t="s">
        <v>178</v>
      </c>
      <c r="C136" s="28" t="s">
        <v>0</v>
      </c>
      <c r="D136" s="28" t="s">
        <v>6</v>
      </c>
      <c r="E136" s="28" t="s">
        <v>27</v>
      </c>
      <c r="F136" s="28" t="s">
        <v>3</v>
      </c>
      <c r="G136" s="199" t="str">
        <f>IF(H136="","",IF(ISNUMBER(SEARCH(" ",H136)),LEFT(H136,1)&amp;MID(H136,SEARCH(" ",H136)+1,1)&amp;IFERROR(MID(H136,SEARCH(" ",H136,SEARCH(" ",H136)+1)+1,1),""),LEFT(H136,3)))&amp;IF(I136="","","-"&amp;IF(ISNUMBER(SEARCH(" ",I136)),LEFT(I136,1)&amp;MID(I136,SEARCH(" ",I136)+1,1)&amp;IFERROR(MID(I136,SEARCH(" ",I136,SEARCH(" ",I136)+1)+1,1),""),LEFT(I136,3)))&amp;IF(D136="","","-"&amp;D136)&amp;"-"&amp;TEXT(COUNTIF($H$4:H136,H136),"000")</f>
        <v>ABA-CS-704-057</v>
      </c>
      <c r="H136" s="61" t="s">
        <v>611</v>
      </c>
      <c r="I136" s="28" t="s">
        <v>623</v>
      </c>
      <c r="J136" s="29" t="s">
        <v>464</v>
      </c>
      <c r="K136" s="30" t="s">
        <v>466</v>
      </c>
      <c r="L136" s="31" t="s">
        <v>141</v>
      </c>
      <c r="M136" s="31" t="s">
        <v>174</v>
      </c>
      <c r="N136" s="31" t="s">
        <v>166</v>
      </c>
      <c r="O136" s="31" t="s">
        <v>516</v>
      </c>
      <c r="P136" s="21">
        <v>0</v>
      </c>
      <c r="Q136" s="40">
        <f t="shared" si="53"/>
        <v>0</v>
      </c>
      <c r="R136" s="23">
        <v>3</v>
      </c>
      <c r="S136" s="158">
        <f t="shared" si="50"/>
        <v>1.2000000000000002</v>
      </c>
      <c r="T136" s="24">
        <v>0</v>
      </c>
      <c r="U136" s="52">
        <f t="shared" si="52"/>
        <v>0</v>
      </c>
      <c r="V136" s="32">
        <f t="shared" si="51"/>
        <v>3</v>
      </c>
      <c r="W136" s="32">
        <f t="shared" si="54"/>
        <v>1.2000000000000002</v>
      </c>
      <c r="X136" s="110">
        <v>275</v>
      </c>
      <c r="Y136" s="160"/>
      <c r="Z136" s="33">
        <f t="shared" si="55"/>
        <v>0</v>
      </c>
      <c r="AA136" s="33">
        <f t="shared" si="56"/>
        <v>0</v>
      </c>
      <c r="AB136" s="33">
        <f t="shared" si="57"/>
        <v>825</v>
      </c>
      <c r="AC136" s="33">
        <f t="shared" si="58"/>
        <v>330.00000000000006</v>
      </c>
      <c r="AD136" s="33">
        <f t="shared" si="59"/>
        <v>0</v>
      </c>
      <c r="AE136" s="33">
        <f t="shared" si="60"/>
        <v>0</v>
      </c>
      <c r="AF136" s="33">
        <f t="shared" si="61"/>
        <v>825</v>
      </c>
      <c r="AG136" s="33">
        <f t="shared" si="62"/>
        <v>330.00000000000006</v>
      </c>
    </row>
    <row r="137" spans="1:33" ht="10" customHeight="1">
      <c r="A137" s="95">
        <v>134</v>
      </c>
      <c r="B137" s="126" t="s">
        <v>178</v>
      </c>
      <c r="C137" s="48" t="s">
        <v>0</v>
      </c>
      <c r="D137" s="48" t="s">
        <v>8</v>
      </c>
      <c r="E137" s="48" t="s">
        <v>7</v>
      </c>
      <c r="F137" s="48" t="s">
        <v>3</v>
      </c>
      <c r="G137" s="199" t="str">
        <f>IF(H137="","",IF(ISNUMBER(SEARCH(" ",H137)),LEFT(H137,1)&amp;MID(H137,SEARCH(" ",H137)+1,1)&amp;IFERROR(MID(H137,SEARCH(" ",H137,SEARCH(" ",H137)+1)+1,1),""),LEFT(H137,3)))&amp;IF(I137="","","-"&amp;IF(ISNUMBER(SEARCH(" ",I137)),LEFT(I137,1)&amp;MID(I137,SEARCH(" ",I137)+1,1)&amp;IFERROR(MID(I137,SEARCH(" ",I137,SEARCH(" ",I137)+1)+1,1),""),LEFT(I137,3)))&amp;IF(D137="","","-"&amp;D137)&amp;"-"&amp;TEXT(COUNTIF($H$4:H137,H137),"000")</f>
        <v>ABA-CS-809-058</v>
      </c>
      <c r="H137" s="48" t="s">
        <v>611</v>
      </c>
      <c r="I137" s="48" t="s">
        <v>623</v>
      </c>
      <c r="J137" s="49" t="s">
        <v>467</v>
      </c>
      <c r="K137" s="50" t="s">
        <v>540</v>
      </c>
      <c r="L137" s="51" t="s">
        <v>145</v>
      </c>
      <c r="M137" s="51" t="s">
        <v>137</v>
      </c>
      <c r="N137" s="51" t="s">
        <v>145</v>
      </c>
      <c r="O137" s="51" t="s">
        <v>577</v>
      </c>
      <c r="P137" s="39">
        <v>360</v>
      </c>
      <c r="Q137" s="40">
        <f>(P137*0.4)</f>
        <v>144</v>
      </c>
      <c r="R137" s="96">
        <v>36</v>
      </c>
      <c r="S137" s="158">
        <f t="shared" ref="S137:S159" si="63">R137*0.4</f>
        <v>14.4</v>
      </c>
      <c r="T137" s="24">
        <v>15</v>
      </c>
      <c r="U137" s="52">
        <f>T137*0.4</f>
        <v>6</v>
      </c>
      <c r="V137" s="53">
        <f t="shared" ref="V137:V159" si="64">P137+R137+T137</f>
        <v>411</v>
      </c>
      <c r="W137" s="53">
        <f>V137*0.4</f>
        <v>164.4</v>
      </c>
      <c r="X137" s="112">
        <v>19.2</v>
      </c>
      <c r="Y137" s="160"/>
      <c r="Z137" s="54">
        <f t="shared" si="55"/>
        <v>6912</v>
      </c>
      <c r="AA137" s="54">
        <f t="shared" si="56"/>
        <v>2764.7999999999997</v>
      </c>
      <c r="AB137" s="54">
        <f t="shared" si="57"/>
        <v>691.19999999999993</v>
      </c>
      <c r="AC137" s="54">
        <f t="shared" si="58"/>
        <v>276.48</v>
      </c>
      <c r="AD137" s="54">
        <f t="shared" si="59"/>
        <v>288</v>
      </c>
      <c r="AE137" s="54">
        <f t="shared" si="60"/>
        <v>115.19999999999999</v>
      </c>
      <c r="AF137" s="54">
        <f t="shared" si="61"/>
        <v>7891.2</v>
      </c>
      <c r="AG137" s="54">
        <f t="shared" si="62"/>
        <v>3156.48</v>
      </c>
    </row>
    <row r="138" spans="1:33" ht="10" customHeight="1">
      <c r="A138" s="95">
        <v>135</v>
      </c>
      <c r="B138" s="124" t="s">
        <v>178</v>
      </c>
      <c r="C138" s="28" t="s">
        <v>0</v>
      </c>
      <c r="D138" s="28" t="s">
        <v>25</v>
      </c>
      <c r="E138" s="28" t="s">
        <v>16</v>
      </c>
      <c r="F138" s="28" t="s">
        <v>3</v>
      </c>
      <c r="G138" s="199" t="str">
        <f>IF(H138="","",IF(ISNUMBER(SEARCH(" ",H138)),LEFT(H138,1)&amp;MID(H138,SEARCH(" ",H138)+1,1)&amp;IFERROR(MID(H138,SEARCH(" ",H138,SEARCH(" ",H138)+1)+1,1),""),LEFT(H138,3)))&amp;IF(I138="","","-"&amp;IF(ISNUMBER(SEARCH(" ",I138)),LEFT(I138,1)&amp;MID(I138,SEARCH(" ",I138)+1,1)&amp;IFERROR(MID(I138,SEARCH(" ",I138,SEARCH(" ",I138)+1)+1,1),""),LEFT(I138,3)))&amp;IF(D138="","","-"&amp;D138)&amp;"-"&amp;TEXT(COUNTIF($H$4:H138,H138),"000")</f>
        <v>ABA-CAF-806-059</v>
      </c>
      <c r="H138" s="48" t="s">
        <v>611</v>
      </c>
      <c r="I138" s="28" t="s">
        <v>616</v>
      </c>
      <c r="J138" s="29" t="s">
        <v>468</v>
      </c>
      <c r="K138" s="30" t="s">
        <v>251</v>
      </c>
      <c r="L138" s="31" t="s">
        <v>135</v>
      </c>
      <c r="M138" s="31" t="s">
        <v>142</v>
      </c>
      <c r="N138" s="31" t="s">
        <v>166</v>
      </c>
      <c r="O138" s="31" t="s">
        <v>578</v>
      </c>
      <c r="P138" s="39">
        <v>960</v>
      </c>
      <c r="Q138" s="40">
        <f t="shared" ref="Q138:Q159" si="65">(P138*0.4)</f>
        <v>384</v>
      </c>
      <c r="R138" s="96">
        <v>360</v>
      </c>
      <c r="S138" s="158">
        <f t="shared" si="63"/>
        <v>144</v>
      </c>
      <c r="T138" s="24">
        <v>180</v>
      </c>
      <c r="U138" s="52">
        <f>T138*0.4</f>
        <v>72</v>
      </c>
      <c r="V138" s="32">
        <f t="shared" si="64"/>
        <v>1500</v>
      </c>
      <c r="W138" s="32">
        <f t="shared" ref="W138:W159" si="66">V138*0.4</f>
        <v>600</v>
      </c>
      <c r="X138" s="110">
        <v>400</v>
      </c>
      <c r="Y138" s="160"/>
      <c r="Z138" s="33">
        <f t="shared" si="55"/>
        <v>384000</v>
      </c>
      <c r="AA138" s="33">
        <f t="shared" si="56"/>
        <v>153600</v>
      </c>
      <c r="AB138" s="33">
        <f t="shared" si="57"/>
        <v>144000</v>
      </c>
      <c r="AC138" s="33">
        <f t="shared" si="58"/>
        <v>57600</v>
      </c>
      <c r="AD138" s="33">
        <f t="shared" si="59"/>
        <v>72000</v>
      </c>
      <c r="AE138" s="33">
        <f t="shared" si="60"/>
        <v>28800</v>
      </c>
      <c r="AF138" s="33">
        <f t="shared" si="61"/>
        <v>600000</v>
      </c>
      <c r="AG138" s="33">
        <f t="shared" si="62"/>
        <v>240000</v>
      </c>
    </row>
    <row r="139" spans="1:33" ht="10" customHeight="1">
      <c r="A139" s="95">
        <v>136</v>
      </c>
      <c r="B139" s="126" t="s">
        <v>178</v>
      </c>
      <c r="C139" s="48" t="s">
        <v>0</v>
      </c>
      <c r="D139" s="48" t="s">
        <v>25</v>
      </c>
      <c r="E139" s="48" t="s">
        <v>2</v>
      </c>
      <c r="F139" s="48" t="s">
        <v>3</v>
      </c>
      <c r="G139" s="199" t="str">
        <f>IF(H139="","",IF(ISNUMBER(SEARCH(" ",H139)),LEFT(H139,1)&amp;MID(H139,SEARCH(" ",H139)+1,1)&amp;IFERROR(MID(H139,SEARCH(" ",H139,SEARCH(" ",H139)+1)+1,1),""),LEFT(H139,3)))&amp;IF(I139="","","-"&amp;IF(ISNUMBER(SEARCH(" ",I139)),LEFT(I139,1)&amp;MID(I139,SEARCH(" ",I139)+1,1)&amp;IFERROR(MID(I139,SEARCH(" ",I139,SEARCH(" ",I139)+1)+1,1),""),LEFT(I139,3)))&amp;IF(D139="","","-"&amp;D139)&amp;"-"&amp;TEXT(COUNTIF($H$4:H139,H139),"000")</f>
        <v>ABA-CAF-806-060</v>
      </c>
      <c r="H139" s="48" t="s">
        <v>611</v>
      </c>
      <c r="I139" s="48" t="s">
        <v>616</v>
      </c>
      <c r="J139" s="49" t="s">
        <v>469</v>
      </c>
      <c r="K139" s="50" t="s">
        <v>252</v>
      </c>
      <c r="L139" s="51" t="s">
        <v>146</v>
      </c>
      <c r="M139" s="51" t="s">
        <v>147</v>
      </c>
      <c r="N139" s="51" t="s">
        <v>166</v>
      </c>
      <c r="O139" s="51" t="s">
        <v>579</v>
      </c>
      <c r="P139" s="39">
        <v>0</v>
      </c>
      <c r="Q139" s="40">
        <f t="shared" si="65"/>
        <v>0</v>
      </c>
      <c r="R139" s="96">
        <v>0</v>
      </c>
      <c r="S139" s="158">
        <f t="shared" si="63"/>
        <v>0</v>
      </c>
      <c r="T139" s="24">
        <v>0</v>
      </c>
      <c r="U139" s="52">
        <f>T139*0.4</f>
        <v>0</v>
      </c>
      <c r="V139" s="53">
        <f t="shared" si="64"/>
        <v>0</v>
      </c>
      <c r="W139" s="53">
        <f t="shared" si="66"/>
        <v>0</v>
      </c>
      <c r="X139" s="106">
        <v>105</v>
      </c>
      <c r="Y139" s="160"/>
      <c r="Z139" s="54">
        <f t="shared" si="55"/>
        <v>0</v>
      </c>
      <c r="AA139" s="54">
        <f t="shared" si="56"/>
        <v>0</v>
      </c>
      <c r="AB139" s="54">
        <f t="shared" si="57"/>
        <v>0</v>
      </c>
      <c r="AC139" s="54">
        <f t="shared" si="58"/>
        <v>0</v>
      </c>
      <c r="AD139" s="54">
        <f t="shared" si="59"/>
        <v>0</v>
      </c>
      <c r="AE139" s="54">
        <f t="shared" si="60"/>
        <v>0</v>
      </c>
      <c r="AF139" s="54">
        <f t="shared" si="61"/>
        <v>0</v>
      </c>
      <c r="AG139" s="54">
        <f t="shared" si="62"/>
        <v>0</v>
      </c>
    </row>
    <row r="140" spans="1:33" ht="10" customHeight="1">
      <c r="A140" s="95">
        <v>137</v>
      </c>
      <c r="B140" s="124" t="s">
        <v>178</v>
      </c>
      <c r="C140" s="28" t="s">
        <v>0</v>
      </c>
      <c r="D140" s="28" t="s">
        <v>25</v>
      </c>
      <c r="E140" s="28" t="s">
        <v>26</v>
      </c>
      <c r="F140" s="28" t="s">
        <v>3</v>
      </c>
      <c r="G140" s="199" t="str">
        <f>IF(H140="","",IF(ISNUMBER(SEARCH(" ",H140)),LEFT(H140,1)&amp;MID(H140,SEARCH(" ",H140)+1,1)&amp;IFERROR(MID(H140,SEARCH(" ",H140,SEARCH(" ",H140)+1)+1,1),""),LEFT(H140,3)))&amp;IF(I140="","","-"&amp;IF(ISNUMBER(SEARCH(" ",I140)),LEFT(I140,1)&amp;MID(I140,SEARCH(" ",I140)+1,1)&amp;IFERROR(MID(I140,SEARCH(" ",I140,SEARCH(" ",I140)+1)+1,1),""),LEFT(I140,3)))&amp;IF(D140="","","-"&amp;D140)&amp;"-"&amp;TEXT(COUNTIF($H$4:H140,H140),"000")</f>
        <v>ABA-CAF-806-061</v>
      </c>
      <c r="H140" s="48" t="s">
        <v>611</v>
      </c>
      <c r="I140" s="28" t="s">
        <v>616</v>
      </c>
      <c r="J140" s="29" t="s">
        <v>470</v>
      </c>
      <c r="K140" s="30" t="s">
        <v>253</v>
      </c>
      <c r="L140" s="31" t="s">
        <v>146</v>
      </c>
      <c r="M140" s="31" t="s">
        <v>147</v>
      </c>
      <c r="N140" s="31" t="s">
        <v>334</v>
      </c>
      <c r="O140" s="31" t="s">
        <v>580</v>
      </c>
      <c r="P140" s="39">
        <v>0</v>
      </c>
      <c r="Q140" s="40">
        <f t="shared" si="65"/>
        <v>0</v>
      </c>
      <c r="R140" s="96">
        <v>0</v>
      </c>
      <c r="S140" s="158">
        <f t="shared" si="63"/>
        <v>0</v>
      </c>
      <c r="T140" s="24">
        <v>0</v>
      </c>
      <c r="U140" s="52">
        <f>T140*0.4</f>
        <v>0</v>
      </c>
      <c r="V140" s="32">
        <f t="shared" si="64"/>
        <v>0</v>
      </c>
      <c r="W140" s="32">
        <f t="shared" si="66"/>
        <v>0</v>
      </c>
      <c r="X140" s="105">
        <v>114</v>
      </c>
      <c r="Y140" s="160"/>
      <c r="Z140" s="33">
        <f t="shared" si="55"/>
        <v>0</v>
      </c>
      <c r="AA140" s="33">
        <f t="shared" si="56"/>
        <v>0</v>
      </c>
      <c r="AB140" s="33">
        <f t="shared" si="57"/>
        <v>0</v>
      </c>
      <c r="AC140" s="33">
        <f t="shared" si="58"/>
        <v>0</v>
      </c>
      <c r="AD140" s="33">
        <f t="shared" si="59"/>
        <v>0</v>
      </c>
      <c r="AE140" s="33">
        <f t="shared" si="60"/>
        <v>0</v>
      </c>
      <c r="AF140" s="33">
        <f t="shared" si="61"/>
        <v>0</v>
      </c>
      <c r="AG140" s="33">
        <f t="shared" si="62"/>
        <v>0</v>
      </c>
    </row>
    <row r="141" spans="1:33" ht="10" customHeight="1">
      <c r="A141" s="95">
        <v>138</v>
      </c>
      <c r="B141" s="126" t="s">
        <v>178</v>
      </c>
      <c r="C141" s="48" t="s">
        <v>0</v>
      </c>
      <c r="D141" s="48" t="s">
        <v>9</v>
      </c>
      <c r="E141" s="48" t="s">
        <v>27</v>
      </c>
      <c r="F141" s="48" t="s">
        <v>3</v>
      </c>
      <c r="G141" s="199" t="str">
        <f>IF(H141="","",IF(ISNUMBER(SEARCH(" ",H141)),LEFT(H141,1)&amp;MID(H141,SEARCH(" ",H141)+1,1)&amp;IFERROR(MID(H141,SEARCH(" ",H141,SEARCH(" ",H141)+1)+1,1),""),LEFT(H141,3)))&amp;IF(I141="","","-"&amp;IF(ISNUMBER(SEARCH(" ",I141)),LEFT(I141,1)&amp;MID(I141,SEARCH(" ",I141)+1,1)&amp;IFERROR(MID(I141,SEARCH(" ",I141,SEARCH(" ",I141)+1)+1,1),""),LEFT(I141,3)))&amp;IF(D141="","","-"&amp;D141)&amp;"-"&amp;TEXT(COUNTIF($H$4:H141,H141),"000")</f>
        <v>ABA-CAN-802-062</v>
      </c>
      <c r="H141" s="48" t="s">
        <v>611</v>
      </c>
      <c r="I141" s="48" t="s">
        <v>617</v>
      </c>
      <c r="J141" s="49" t="s">
        <v>471</v>
      </c>
      <c r="K141" s="50" t="s">
        <v>254</v>
      </c>
      <c r="L141" s="51" t="s">
        <v>141</v>
      </c>
      <c r="M141" s="51" t="s">
        <v>174</v>
      </c>
      <c r="N141" s="51" t="s">
        <v>166</v>
      </c>
      <c r="O141" s="51" t="s">
        <v>516</v>
      </c>
      <c r="P141" s="39">
        <v>36</v>
      </c>
      <c r="Q141" s="40">
        <f t="shared" si="65"/>
        <v>14.4</v>
      </c>
      <c r="R141" s="96">
        <v>36</v>
      </c>
      <c r="S141" s="158">
        <f t="shared" si="63"/>
        <v>14.4</v>
      </c>
      <c r="T141" s="24">
        <v>27</v>
      </c>
      <c r="U141" s="52">
        <v>11</v>
      </c>
      <c r="V141" s="53">
        <f t="shared" si="64"/>
        <v>99</v>
      </c>
      <c r="W141" s="53">
        <f t="shared" si="66"/>
        <v>39.6</v>
      </c>
      <c r="X141" s="112">
        <v>435</v>
      </c>
      <c r="Y141" s="160"/>
      <c r="Z141" s="54">
        <f t="shared" si="55"/>
        <v>15660</v>
      </c>
      <c r="AA141" s="54">
        <f t="shared" si="56"/>
        <v>6264</v>
      </c>
      <c r="AB141" s="54">
        <f t="shared" si="57"/>
        <v>15660</v>
      </c>
      <c r="AC141" s="54">
        <f t="shared" si="58"/>
        <v>6264</v>
      </c>
      <c r="AD141" s="54">
        <f t="shared" si="59"/>
        <v>11745</v>
      </c>
      <c r="AE141" s="54">
        <f t="shared" si="60"/>
        <v>4785</v>
      </c>
      <c r="AF141" s="54">
        <f t="shared" si="61"/>
        <v>43065</v>
      </c>
      <c r="AG141" s="54">
        <f t="shared" si="62"/>
        <v>17226</v>
      </c>
    </row>
    <row r="142" spans="1:33" ht="10" customHeight="1">
      <c r="A142" s="95">
        <v>139</v>
      </c>
      <c r="B142" s="124" t="s">
        <v>178</v>
      </c>
      <c r="C142" s="28" t="s">
        <v>0</v>
      </c>
      <c r="D142" s="28" t="s">
        <v>9</v>
      </c>
      <c r="E142" s="28" t="s">
        <v>48</v>
      </c>
      <c r="F142" s="28" t="s">
        <v>3</v>
      </c>
      <c r="G142" s="199" t="str">
        <f>IF(H142="","",IF(ISNUMBER(SEARCH(" ",H142)),LEFT(H142,1)&amp;MID(H142,SEARCH(" ",H142)+1,1)&amp;IFERROR(MID(H142,SEARCH(" ",H142,SEARCH(" ",H142)+1)+1,1),""),LEFT(H142,3)))&amp;IF(I142="","","-"&amp;IF(ISNUMBER(SEARCH(" ",I142)),LEFT(I142,1)&amp;MID(I142,SEARCH(" ",I142)+1,1)&amp;IFERROR(MID(I142,SEARCH(" ",I142,SEARCH(" ",I142)+1)+1,1),""),LEFT(I142,3)))&amp;IF(D142="","","-"&amp;D142)&amp;"-"&amp;TEXT(COUNTIF($H$4:H142,H142),"000")</f>
        <v>ABA-CS-802-063</v>
      </c>
      <c r="H142" s="48" t="s">
        <v>611</v>
      </c>
      <c r="I142" s="28" t="s">
        <v>623</v>
      </c>
      <c r="J142" s="29" t="s">
        <v>472</v>
      </c>
      <c r="K142" s="30" t="s">
        <v>255</v>
      </c>
      <c r="L142" s="31" t="s">
        <v>141</v>
      </c>
      <c r="M142" s="31" t="s">
        <v>174</v>
      </c>
      <c r="N142" s="31" t="s">
        <v>166</v>
      </c>
      <c r="O142" s="31" t="s">
        <v>516</v>
      </c>
      <c r="P142" s="39">
        <v>12</v>
      </c>
      <c r="Q142" s="40">
        <f t="shared" si="65"/>
        <v>4.8000000000000007</v>
      </c>
      <c r="R142" s="96">
        <v>0</v>
      </c>
      <c r="S142" s="158">
        <f t="shared" si="63"/>
        <v>0</v>
      </c>
      <c r="T142" s="24">
        <v>5</v>
      </c>
      <c r="U142" s="52">
        <v>2</v>
      </c>
      <c r="V142" s="32">
        <f t="shared" si="64"/>
        <v>17</v>
      </c>
      <c r="W142" s="32">
        <f t="shared" si="66"/>
        <v>6.8000000000000007</v>
      </c>
      <c r="X142" s="110">
        <v>78.5</v>
      </c>
      <c r="Y142" s="160"/>
      <c r="Z142" s="33">
        <f t="shared" si="55"/>
        <v>942</v>
      </c>
      <c r="AA142" s="33">
        <f t="shared" si="56"/>
        <v>376.80000000000007</v>
      </c>
      <c r="AB142" s="33">
        <f t="shared" si="57"/>
        <v>0</v>
      </c>
      <c r="AC142" s="33">
        <f t="shared" si="58"/>
        <v>0</v>
      </c>
      <c r="AD142" s="33">
        <f t="shared" si="59"/>
        <v>392.5</v>
      </c>
      <c r="AE142" s="33">
        <f t="shared" si="60"/>
        <v>157</v>
      </c>
      <c r="AF142" s="33">
        <f t="shared" si="61"/>
        <v>1334.5</v>
      </c>
      <c r="AG142" s="33">
        <f t="shared" si="62"/>
        <v>533.80000000000007</v>
      </c>
    </row>
    <row r="143" spans="1:33" ht="10" customHeight="1">
      <c r="A143" s="95">
        <v>140</v>
      </c>
      <c r="B143" s="126" t="s">
        <v>178</v>
      </c>
      <c r="C143" s="48" t="s">
        <v>0</v>
      </c>
      <c r="D143" s="48" t="s">
        <v>9</v>
      </c>
      <c r="E143" s="48" t="s">
        <v>50</v>
      </c>
      <c r="F143" s="48" t="s">
        <v>3</v>
      </c>
      <c r="G143" s="199" t="str">
        <f>IF(H143="","",IF(ISNUMBER(SEARCH(" ",H143)),LEFT(H143,1)&amp;MID(H143,SEARCH(" ",H143)+1,1)&amp;IFERROR(MID(H143,SEARCH(" ",H143,SEARCH(" ",H143)+1)+1,1),""),LEFT(H143,3)))&amp;IF(I143="","","-"&amp;IF(ISNUMBER(SEARCH(" ",I143)),LEFT(I143,1)&amp;MID(I143,SEARCH(" ",I143)+1,1)&amp;IFERROR(MID(I143,SEARCH(" ",I143,SEARCH(" ",I143)+1)+1,1),""),LEFT(I143,3)))&amp;IF(D143="","","-"&amp;D143)&amp;"-"&amp;TEXT(COUNTIF($H$4:H143,H143),"000")</f>
        <v>ABA-CS-802-064</v>
      </c>
      <c r="H143" s="48" t="s">
        <v>611</v>
      </c>
      <c r="I143" s="48" t="s">
        <v>623</v>
      </c>
      <c r="J143" s="49" t="s">
        <v>473</v>
      </c>
      <c r="K143" s="50" t="s">
        <v>256</v>
      </c>
      <c r="L143" s="51" t="s">
        <v>141</v>
      </c>
      <c r="M143" s="51" t="s">
        <v>174</v>
      </c>
      <c r="N143" s="51" t="s">
        <v>166</v>
      </c>
      <c r="O143" s="51" t="s">
        <v>516</v>
      </c>
      <c r="P143" s="39">
        <v>42</v>
      </c>
      <c r="Q143" s="40">
        <f t="shared" si="65"/>
        <v>16.8</v>
      </c>
      <c r="R143" s="96">
        <v>0</v>
      </c>
      <c r="S143" s="158">
        <f t="shared" si="63"/>
        <v>0</v>
      </c>
      <c r="T143" s="24">
        <v>3</v>
      </c>
      <c r="U143" s="52">
        <v>1</v>
      </c>
      <c r="V143" s="53">
        <f t="shared" si="64"/>
        <v>45</v>
      </c>
      <c r="W143" s="53">
        <f t="shared" si="66"/>
        <v>18</v>
      </c>
      <c r="X143" s="112">
        <v>77</v>
      </c>
      <c r="Y143" s="160"/>
      <c r="Z143" s="54">
        <f t="shared" si="55"/>
        <v>3234</v>
      </c>
      <c r="AA143" s="54">
        <f t="shared" si="56"/>
        <v>1293.6000000000001</v>
      </c>
      <c r="AB143" s="54">
        <f t="shared" si="57"/>
        <v>0</v>
      </c>
      <c r="AC143" s="54">
        <f t="shared" si="58"/>
        <v>0</v>
      </c>
      <c r="AD143" s="54">
        <f t="shared" si="59"/>
        <v>231</v>
      </c>
      <c r="AE143" s="54">
        <f t="shared" si="60"/>
        <v>77</v>
      </c>
      <c r="AF143" s="54">
        <f t="shared" si="61"/>
        <v>3465</v>
      </c>
      <c r="AG143" s="54">
        <f t="shared" si="62"/>
        <v>1386</v>
      </c>
    </row>
    <row r="144" spans="1:33" ht="10" customHeight="1">
      <c r="A144" s="95">
        <v>141</v>
      </c>
      <c r="B144" s="124" t="s">
        <v>178</v>
      </c>
      <c r="C144" s="28" t="s">
        <v>0</v>
      </c>
      <c r="D144" s="28" t="s">
        <v>8</v>
      </c>
      <c r="E144" s="28" t="s">
        <v>10</v>
      </c>
      <c r="F144" s="28" t="s">
        <v>3</v>
      </c>
      <c r="G144" s="199" t="str">
        <f>IF(H144="","",IF(ISNUMBER(SEARCH(" ",H144)),LEFT(H144,1)&amp;MID(H144,SEARCH(" ",H144)+1,1)&amp;IFERROR(MID(H144,SEARCH(" ",H144,SEARCH(" ",H144)+1)+1,1),""),LEFT(H144,3)))&amp;IF(I144="","","-"&amp;IF(ISNUMBER(SEARCH(" ",I144)),LEFT(I144,1)&amp;MID(I144,SEARCH(" ",I144)+1,1)&amp;IFERROR(MID(I144,SEARCH(" ",I144,SEARCH(" ",I144)+1)+1,1),""),LEFT(I144,3)))&amp;IF(D144="","","-"&amp;D144)&amp;"-"&amp;TEXT(COUNTIF($H$4:H144,H144),"000")</f>
        <v>ABA-CON-809-065</v>
      </c>
      <c r="H144" s="48" t="s">
        <v>611</v>
      </c>
      <c r="I144" s="28" t="s">
        <v>624</v>
      </c>
      <c r="J144" s="29" t="s">
        <v>474</v>
      </c>
      <c r="K144" s="30" t="s">
        <v>541</v>
      </c>
      <c r="L144" s="31" t="s">
        <v>135</v>
      </c>
      <c r="M144" s="31" t="s">
        <v>155</v>
      </c>
      <c r="N144" s="31" t="s">
        <v>166</v>
      </c>
      <c r="O144" s="31" t="s">
        <v>516</v>
      </c>
      <c r="P144" s="39">
        <v>180</v>
      </c>
      <c r="Q144" s="40">
        <f t="shared" si="65"/>
        <v>72</v>
      </c>
      <c r="R144" s="96">
        <v>36</v>
      </c>
      <c r="S144" s="158">
        <f t="shared" si="63"/>
        <v>14.4</v>
      </c>
      <c r="T144" s="24">
        <v>0</v>
      </c>
      <c r="U144" s="52">
        <f>T144*0.4</f>
        <v>0</v>
      </c>
      <c r="V144" s="32">
        <f t="shared" si="64"/>
        <v>216</v>
      </c>
      <c r="W144" s="32">
        <f t="shared" si="66"/>
        <v>86.4</v>
      </c>
      <c r="X144" s="110">
        <v>53</v>
      </c>
      <c r="Y144" s="160"/>
      <c r="Z144" s="33">
        <f t="shared" si="55"/>
        <v>9540</v>
      </c>
      <c r="AA144" s="33">
        <f t="shared" si="56"/>
        <v>3816</v>
      </c>
      <c r="AB144" s="33">
        <f t="shared" si="57"/>
        <v>1908</v>
      </c>
      <c r="AC144" s="33">
        <f t="shared" si="58"/>
        <v>763.2</v>
      </c>
      <c r="AD144" s="33">
        <f t="shared" si="59"/>
        <v>0</v>
      </c>
      <c r="AE144" s="33">
        <f t="shared" si="60"/>
        <v>0</v>
      </c>
      <c r="AF144" s="33">
        <f t="shared" si="61"/>
        <v>11448</v>
      </c>
      <c r="AG144" s="33">
        <f t="shared" si="62"/>
        <v>4579.2000000000007</v>
      </c>
    </row>
    <row r="145" spans="1:33" ht="10" customHeight="1">
      <c r="A145" s="95">
        <v>142</v>
      </c>
      <c r="B145" s="126" t="s">
        <v>178</v>
      </c>
      <c r="C145" s="48" t="s">
        <v>0</v>
      </c>
      <c r="D145" s="48" t="s">
        <v>25</v>
      </c>
      <c r="E145" s="48" t="s">
        <v>10</v>
      </c>
      <c r="F145" s="48" t="s">
        <v>3</v>
      </c>
      <c r="G145" s="199" t="str">
        <f>IF(H145="","",IF(ISNUMBER(SEARCH(" ",H145)),LEFT(H145,1)&amp;MID(H145,SEARCH(" ",H145)+1,1)&amp;IFERROR(MID(H145,SEARCH(" ",H145,SEARCH(" ",H145)+1)+1,1),""),LEFT(H145,3)))&amp;IF(I145="","","-"&amp;IF(ISNUMBER(SEARCH(" ",I145)),LEFT(I145,1)&amp;MID(I145,SEARCH(" ",I145)+1,1)&amp;IFERROR(MID(I145,SEARCH(" ",I145,SEARCH(" ",I145)+1)+1,1),""),LEFT(I145,3)))&amp;IF(D145="","","-"&amp;D145)&amp;"-"&amp;TEXT(COUNTIF($H$4:H145,H145),"000")</f>
        <v>ABA-VS-806-066</v>
      </c>
      <c r="H145" s="48" t="s">
        <v>611</v>
      </c>
      <c r="I145" s="48" t="s">
        <v>663</v>
      </c>
      <c r="J145" s="49" t="s">
        <v>475</v>
      </c>
      <c r="K145" s="50" t="s">
        <v>542</v>
      </c>
      <c r="L145" s="51" t="s">
        <v>135</v>
      </c>
      <c r="M145" s="51" t="s">
        <v>142</v>
      </c>
      <c r="N145" s="51" t="s">
        <v>166</v>
      </c>
      <c r="O145" s="51" t="s">
        <v>581</v>
      </c>
      <c r="P145" s="39">
        <v>24</v>
      </c>
      <c r="Q145" s="40">
        <f t="shared" si="65"/>
        <v>9.6000000000000014</v>
      </c>
      <c r="R145" s="96">
        <v>0</v>
      </c>
      <c r="S145" s="158">
        <f t="shared" si="63"/>
        <v>0</v>
      </c>
      <c r="T145" s="24">
        <v>27</v>
      </c>
      <c r="U145" s="52">
        <v>11</v>
      </c>
      <c r="V145" s="53">
        <f t="shared" si="64"/>
        <v>51</v>
      </c>
      <c r="W145" s="53">
        <f t="shared" si="66"/>
        <v>20.400000000000002</v>
      </c>
      <c r="X145" s="112">
        <v>148</v>
      </c>
      <c r="Y145" s="160"/>
      <c r="Z145" s="54">
        <f t="shared" si="55"/>
        <v>3552</v>
      </c>
      <c r="AA145" s="54">
        <f t="shared" si="56"/>
        <v>1420.8000000000002</v>
      </c>
      <c r="AB145" s="54">
        <f t="shared" si="57"/>
        <v>0</v>
      </c>
      <c r="AC145" s="54">
        <f t="shared" si="58"/>
        <v>0</v>
      </c>
      <c r="AD145" s="54">
        <f t="shared" si="59"/>
        <v>3996</v>
      </c>
      <c r="AE145" s="54">
        <f t="shared" si="60"/>
        <v>1628</v>
      </c>
      <c r="AF145" s="54">
        <f t="shared" si="61"/>
        <v>7548</v>
      </c>
      <c r="AG145" s="54">
        <f t="shared" si="62"/>
        <v>3019.2000000000003</v>
      </c>
    </row>
    <row r="146" spans="1:33" ht="10" customHeight="1">
      <c r="A146" s="95">
        <v>143</v>
      </c>
      <c r="B146" s="124" t="s">
        <v>178</v>
      </c>
      <c r="C146" s="28" t="s">
        <v>0</v>
      </c>
      <c r="D146" s="28" t="s">
        <v>57</v>
      </c>
      <c r="E146" s="28" t="s">
        <v>7</v>
      </c>
      <c r="F146" s="28" t="s">
        <v>3</v>
      </c>
      <c r="G146" s="199" t="str">
        <f>IF(H146="","",IF(ISNUMBER(SEARCH(" ",H146)),LEFT(H146,1)&amp;MID(H146,SEARCH(" ",H146)+1,1)&amp;IFERROR(MID(H146,SEARCH(" ",H146,SEARCH(" ",H146)+1)+1,1),""),LEFT(H146,3)))&amp;IF(I146="","","-"&amp;IF(ISNUMBER(SEARCH(" ",I146)),LEFT(I146,1)&amp;MID(I146,SEARCH(" ",I146)+1,1)&amp;IFERROR(MID(I146,SEARCH(" ",I146,SEARCH(" ",I146)+1)+1,1),""),LEFT(I146,3)))&amp;IF(D146="","","-"&amp;D146)&amp;"-"&amp;TEXT(COUNTIF($H$4:H146,H146),"000")</f>
        <v>ABA-GEL-804-067</v>
      </c>
      <c r="H146" s="48" t="s">
        <v>611</v>
      </c>
      <c r="I146" s="28" t="s">
        <v>628</v>
      </c>
      <c r="J146" s="29" t="s">
        <v>476</v>
      </c>
      <c r="K146" s="30" t="s">
        <v>257</v>
      </c>
      <c r="L146" s="31" t="s">
        <v>135</v>
      </c>
      <c r="M146" s="31" t="s">
        <v>142</v>
      </c>
      <c r="N146" s="31" t="s">
        <v>166</v>
      </c>
      <c r="O146" s="31" t="s">
        <v>582</v>
      </c>
      <c r="P146" s="39">
        <v>0</v>
      </c>
      <c r="Q146" s="40">
        <f t="shared" si="65"/>
        <v>0</v>
      </c>
      <c r="R146" s="96">
        <v>1.5</v>
      </c>
      <c r="S146" s="158">
        <f t="shared" si="63"/>
        <v>0.60000000000000009</v>
      </c>
      <c r="T146" s="24">
        <v>5</v>
      </c>
      <c r="U146" s="52">
        <f>T146*0.4</f>
        <v>2</v>
      </c>
      <c r="V146" s="32">
        <f t="shared" si="64"/>
        <v>6.5</v>
      </c>
      <c r="W146" s="32">
        <f t="shared" si="66"/>
        <v>2.6</v>
      </c>
      <c r="X146" s="110">
        <v>152</v>
      </c>
      <c r="Y146" s="160"/>
      <c r="Z146" s="33">
        <f t="shared" si="55"/>
        <v>0</v>
      </c>
      <c r="AA146" s="33">
        <f t="shared" si="56"/>
        <v>0</v>
      </c>
      <c r="AB146" s="33">
        <f t="shared" si="57"/>
        <v>228</v>
      </c>
      <c r="AC146" s="33">
        <f t="shared" si="58"/>
        <v>91.200000000000017</v>
      </c>
      <c r="AD146" s="33">
        <f t="shared" si="59"/>
        <v>760</v>
      </c>
      <c r="AE146" s="33">
        <f t="shared" si="60"/>
        <v>304</v>
      </c>
      <c r="AF146" s="33">
        <f t="shared" si="61"/>
        <v>988</v>
      </c>
      <c r="AG146" s="33">
        <f t="shared" si="62"/>
        <v>395.2</v>
      </c>
    </row>
    <row r="147" spans="1:33" ht="10" customHeight="1">
      <c r="A147" s="95">
        <v>144</v>
      </c>
      <c r="B147" s="126" t="s">
        <v>178</v>
      </c>
      <c r="C147" s="48" t="s">
        <v>0</v>
      </c>
      <c r="D147" s="48" t="s">
        <v>8</v>
      </c>
      <c r="E147" s="48" t="s">
        <v>24</v>
      </c>
      <c r="F147" s="48" t="s">
        <v>3</v>
      </c>
      <c r="G147" s="199" t="str">
        <f>IF(H147="","",IF(ISNUMBER(SEARCH(" ",H147)),LEFT(H147,1)&amp;MID(H147,SEARCH(" ",H147)+1,1)&amp;IFERROR(MID(H147,SEARCH(" ",H147,SEARCH(" ",H147)+1)+1,1),""),LEFT(H147,3)))&amp;IF(I147="","","-"&amp;IF(ISNUMBER(SEARCH(" ",I147)),LEFT(I147,1)&amp;MID(I147,SEARCH(" ",I147)+1,1)&amp;IFERROR(MID(I147,SEARCH(" ",I147,SEARCH(" ",I147)+1)+1,1),""),LEFT(I147,3)))&amp;IF(D147="","","-"&amp;D147)&amp;"-"&amp;TEXT(COUNTIF($H$4:H147,H147),"000")</f>
        <v>ABA-CS-809-068</v>
      </c>
      <c r="H147" s="48" t="s">
        <v>611</v>
      </c>
      <c r="I147" s="48" t="s">
        <v>623</v>
      </c>
      <c r="J147" s="49" t="s">
        <v>477</v>
      </c>
      <c r="K147" s="50" t="s">
        <v>543</v>
      </c>
      <c r="L147" s="51" t="s">
        <v>135</v>
      </c>
      <c r="M147" s="51" t="s">
        <v>164</v>
      </c>
      <c r="N147" s="51" t="s">
        <v>334</v>
      </c>
      <c r="O147" s="51" t="s">
        <v>583</v>
      </c>
      <c r="P147" s="39">
        <v>84</v>
      </c>
      <c r="Q147" s="40">
        <f t="shared" si="65"/>
        <v>33.6</v>
      </c>
      <c r="R147" s="96">
        <v>24</v>
      </c>
      <c r="S147" s="158">
        <f t="shared" si="63"/>
        <v>9.6000000000000014</v>
      </c>
      <c r="T147" s="24">
        <v>27</v>
      </c>
      <c r="U147" s="52">
        <v>11</v>
      </c>
      <c r="V147" s="53">
        <f t="shared" si="64"/>
        <v>135</v>
      </c>
      <c r="W147" s="53">
        <f t="shared" si="66"/>
        <v>54</v>
      </c>
      <c r="X147" s="112">
        <v>35</v>
      </c>
      <c r="Y147" s="160"/>
      <c r="Z147" s="54">
        <f t="shared" si="55"/>
        <v>2940</v>
      </c>
      <c r="AA147" s="54">
        <f t="shared" si="56"/>
        <v>1176</v>
      </c>
      <c r="AB147" s="54">
        <f t="shared" si="57"/>
        <v>840</v>
      </c>
      <c r="AC147" s="54">
        <f t="shared" si="58"/>
        <v>336.00000000000006</v>
      </c>
      <c r="AD147" s="54">
        <f t="shared" si="59"/>
        <v>945</v>
      </c>
      <c r="AE147" s="54">
        <f t="shared" si="60"/>
        <v>385</v>
      </c>
      <c r="AF147" s="54">
        <f t="shared" si="61"/>
        <v>4725</v>
      </c>
      <c r="AG147" s="54">
        <f t="shared" si="62"/>
        <v>1890</v>
      </c>
    </row>
    <row r="148" spans="1:33" ht="10" customHeight="1">
      <c r="A148" s="95">
        <v>145</v>
      </c>
      <c r="B148" s="124" t="s">
        <v>178</v>
      </c>
      <c r="C148" s="28" t="s">
        <v>0</v>
      </c>
      <c r="D148" s="28" t="s">
        <v>9</v>
      </c>
      <c r="E148" s="28" t="s">
        <v>55</v>
      </c>
      <c r="F148" s="28" t="s">
        <v>3</v>
      </c>
      <c r="G148" s="199" t="str">
        <f>IF(H148="","",IF(ISNUMBER(SEARCH(" ",H148)),LEFT(H148,1)&amp;MID(H148,SEARCH(" ",H148)+1,1)&amp;IFERROR(MID(H148,SEARCH(" ",H148,SEARCH(" ",H148)+1)+1,1),""),LEFT(H148,3)))&amp;IF(I148="","","-"&amp;IF(ISNUMBER(SEARCH(" ",I148)),LEFT(I148,1)&amp;MID(I148,SEARCH(" ",I148)+1,1)&amp;IFERROR(MID(I148,SEARCH(" ",I148,SEARCH(" ",I148)+1)+1,1),""),LEFT(I148,3)))&amp;IF(D148="","","-"&amp;D148)&amp;"-"&amp;TEXT(COUNTIF($H$4:H148,H148),"000")</f>
        <v>ABA-CS-802-069</v>
      </c>
      <c r="H148" s="48" t="s">
        <v>611</v>
      </c>
      <c r="I148" s="28" t="s">
        <v>623</v>
      </c>
      <c r="J148" s="29" t="s">
        <v>478</v>
      </c>
      <c r="K148" s="30" t="s">
        <v>258</v>
      </c>
      <c r="L148" s="31" t="s">
        <v>135</v>
      </c>
      <c r="M148" s="31" t="s">
        <v>165</v>
      </c>
      <c r="N148" s="31" t="s">
        <v>166</v>
      </c>
      <c r="O148" s="31" t="s">
        <v>516</v>
      </c>
      <c r="P148" s="39">
        <v>12</v>
      </c>
      <c r="Q148" s="40">
        <f t="shared" si="65"/>
        <v>4.8000000000000007</v>
      </c>
      <c r="R148" s="96">
        <v>3</v>
      </c>
      <c r="S148" s="158">
        <f t="shared" si="63"/>
        <v>1.2000000000000002</v>
      </c>
      <c r="T148" s="24">
        <v>3</v>
      </c>
      <c r="U148" s="52">
        <v>1</v>
      </c>
      <c r="V148" s="32">
        <f t="shared" si="64"/>
        <v>18</v>
      </c>
      <c r="W148" s="32">
        <f t="shared" si="66"/>
        <v>7.2</v>
      </c>
      <c r="X148" s="110">
        <v>38</v>
      </c>
      <c r="Y148" s="160"/>
      <c r="Z148" s="33">
        <f t="shared" si="55"/>
        <v>456</v>
      </c>
      <c r="AA148" s="33">
        <f t="shared" si="56"/>
        <v>182.40000000000003</v>
      </c>
      <c r="AB148" s="33">
        <f t="shared" si="57"/>
        <v>114</v>
      </c>
      <c r="AC148" s="33">
        <f t="shared" si="58"/>
        <v>45.600000000000009</v>
      </c>
      <c r="AD148" s="33">
        <f t="shared" si="59"/>
        <v>114</v>
      </c>
      <c r="AE148" s="33">
        <f t="shared" si="60"/>
        <v>38</v>
      </c>
      <c r="AF148" s="33">
        <f t="shared" si="61"/>
        <v>684</v>
      </c>
      <c r="AG148" s="33">
        <f t="shared" si="62"/>
        <v>273.60000000000002</v>
      </c>
    </row>
    <row r="149" spans="1:33" ht="10" customHeight="1">
      <c r="A149" s="95">
        <v>146</v>
      </c>
      <c r="B149" s="126" t="s">
        <v>178</v>
      </c>
      <c r="C149" s="48" t="s">
        <v>0</v>
      </c>
      <c r="D149" s="48" t="s">
        <v>9</v>
      </c>
      <c r="E149" s="48" t="s">
        <v>71</v>
      </c>
      <c r="F149" s="48" t="s">
        <v>21</v>
      </c>
      <c r="G149" s="199" t="str">
        <f>IF(H149="","",IF(ISNUMBER(SEARCH(" ",H149)),LEFT(H149,1)&amp;MID(H149,SEARCH(" ",H149)+1,1)&amp;IFERROR(MID(H149,SEARCH(" ",H149,SEARCH(" ",H149)+1)+1,1),""),LEFT(H149,3)))&amp;IF(I149="","","-"&amp;IF(ISNUMBER(SEARCH(" ",I149)),LEFT(I149,1)&amp;MID(I149,SEARCH(" ",I149)+1,1)&amp;IFERROR(MID(I149,SEARCH(" ",I149,SEARCH(" ",I149)+1)+1,1),""),LEFT(I149,3)))&amp;IF(D149="","","-"&amp;D149)&amp;"-"&amp;TEXT(COUNTIF($H$4:H149,H149),"000")</f>
        <v>ABA-CS-802-070</v>
      </c>
      <c r="H149" s="48" t="s">
        <v>611</v>
      </c>
      <c r="I149" s="48" t="s">
        <v>623</v>
      </c>
      <c r="J149" s="49" t="s">
        <v>479</v>
      </c>
      <c r="K149" s="50" t="s">
        <v>259</v>
      </c>
      <c r="L149" s="51" t="s">
        <v>135</v>
      </c>
      <c r="M149" s="51" t="s">
        <v>167</v>
      </c>
      <c r="N149" s="51" t="s">
        <v>166</v>
      </c>
      <c r="O149" s="51" t="s">
        <v>516</v>
      </c>
      <c r="P149" s="39">
        <v>12</v>
      </c>
      <c r="Q149" s="40">
        <f t="shared" si="65"/>
        <v>4.8000000000000007</v>
      </c>
      <c r="R149" s="96">
        <v>3</v>
      </c>
      <c r="S149" s="158">
        <f t="shared" si="63"/>
        <v>1.2000000000000002</v>
      </c>
      <c r="T149" s="24">
        <v>3</v>
      </c>
      <c r="U149" s="52">
        <v>1</v>
      </c>
      <c r="V149" s="53">
        <f t="shared" si="64"/>
        <v>18</v>
      </c>
      <c r="W149" s="53">
        <f t="shared" si="66"/>
        <v>7.2</v>
      </c>
      <c r="X149" s="112">
        <v>125</v>
      </c>
      <c r="Y149" s="160"/>
      <c r="Z149" s="54">
        <f t="shared" si="55"/>
        <v>1500</v>
      </c>
      <c r="AA149" s="54">
        <f t="shared" si="56"/>
        <v>600.00000000000011</v>
      </c>
      <c r="AB149" s="54">
        <f t="shared" si="57"/>
        <v>375</v>
      </c>
      <c r="AC149" s="54">
        <f t="shared" si="58"/>
        <v>150.00000000000003</v>
      </c>
      <c r="AD149" s="54">
        <f t="shared" si="59"/>
        <v>375</v>
      </c>
      <c r="AE149" s="54">
        <f t="shared" si="60"/>
        <v>125</v>
      </c>
      <c r="AF149" s="54">
        <f t="shared" si="61"/>
        <v>2250</v>
      </c>
      <c r="AG149" s="54">
        <f t="shared" si="62"/>
        <v>900</v>
      </c>
    </row>
    <row r="150" spans="1:33" ht="10" customHeight="1">
      <c r="A150" s="95">
        <v>147</v>
      </c>
      <c r="B150" s="124" t="s">
        <v>178</v>
      </c>
      <c r="C150" s="28" t="s">
        <v>0</v>
      </c>
      <c r="D150" s="28" t="s">
        <v>9</v>
      </c>
      <c r="E150" s="28" t="s">
        <v>56</v>
      </c>
      <c r="F150" s="28" t="s">
        <v>21</v>
      </c>
      <c r="G150" s="199" t="str">
        <f>IF(H150="","",IF(ISNUMBER(SEARCH(" ",H150)),LEFT(H150,1)&amp;MID(H150,SEARCH(" ",H150)+1,1)&amp;IFERROR(MID(H150,SEARCH(" ",H150,SEARCH(" ",H150)+1)+1,1),""),LEFT(H150,3)))&amp;IF(I150="","","-"&amp;IF(ISNUMBER(SEARCH(" ",I150)),LEFT(I150,1)&amp;MID(I150,SEARCH(" ",I150)+1,1)&amp;IFERROR(MID(I150,SEARCH(" ",I150,SEARCH(" ",I150)+1)+1,1),""),LEFT(I150,3)))&amp;IF(D150="","","-"&amp;D150)&amp;"-"&amp;TEXT(COUNTIF($H$4:H150,H150),"000")</f>
        <v>ABA-CS-802-071</v>
      </c>
      <c r="H150" s="48" t="s">
        <v>611</v>
      </c>
      <c r="I150" s="28" t="s">
        <v>623</v>
      </c>
      <c r="J150" s="29" t="s">
        <v>480</v>
      </c>
      <c r="K150" s="30" t="s">
        <v>260</v>
      </c>
      <c r="L150" s="31" t="s">
        <v>135</v>
      </c>
      <c r="M150" s="31" t="s">
        <v>167</v>
      </c>
      <c r="N150" s="31" t="s">
        <v>166</v>
      </c>
      <c r="O150" s="31" t="s">
        <v>516</v>
      </c>
      <c r="P150" s="39">
        <v>12</v>
      </c>
      <c r="Q150" s="40">
        <f t="shared" si="65"/>
        <v>4.8000000000000007</v>
      </c>
      <c r="R150" s="96">
        <v>3</v>
      </c>
      <c r="S150" s="158">
        <f t="shared" si="63"/>
        <v>1.2000000000000002</v>
      </c>
      <c r="T150" s="24">
        <v>3</v>
      </c>
      <c r="U150" s="52">
        <v>1</v>
      </c>
      <c r="V150" s="32">
        <f t="shared" si="64"/>
        <v>18</v>
      </c>
      <c r="W150" s="32">
        <f t="shared" si="66"/>
        <v>7.2</v>
      </c>
      <c r="X150" s="110">
        <v>110.9</v>
      </c>
      <c r="Y150" s="160"/>
      <c r="Z150" s="33">
        <f t="shared" si="55"/>
        <v>1330.8000000000002</v>
      </c>
      <c r="AA150" s="33">
        <f t="shared" si="56"/>
        <v>532.32000000000005</v>
      </c>
      <c r="AB150" s="33">
        <f t="shared" si="57"/>
        <v>332.70000000000005</v>
      </c>
      <c r="AC150" s="33">
        <f t="shared" si="58"/>
        <v>133.08000000000001</v>
      </c>
      <c r="AD150" s="33">
        <f t="shared" si="59"/>
        <v>332.70000000000005</v>
      </c>
      <c r="AE150" s="33">
        <f t="shared" si="60"/>
        <v>110.9</v>
      </c>
      <c r="AF150" s="33">
        <f t="shared" si="61"/>
        <v>1996.2</v>
      </c>
      <c r="AG150" s="33">
        <f t="shared" si="62"/>
        <v>798.48</v>
      </c>
    </row>
    <row r="151" spans="1:33" ht="10" customHeight="1">
      <c r="A151" s="95">
        <v>148</v>
      </c>
      <c r="B151" s="126" t="s">
        <v>178</v>
      </c>
      <c r="C151" s="48" t="s">
        <v>0</v>
      </c>
      <c r="D151" s="48" t="s">
        <v>74</v>
      </c>
      <c r="E151" s="48" t="s">
        <v>7</v>
      </c>
      <c r="F151" s="48" t="s">
        <v>3</v>
      </c>
      <c r="G151" s="199" t="str">
        <f>IF(H151="","",IF(ISNUMBER(SEARCH(" ",H151)),LEFT(H151,1)&amp;MID(H151,SEARCH(" ",H151)+1,1)&amp;IFERROR(MID(H151,SEARCH(" ",H151,SEARCH(" ",H151)+1)+1,1),""),LEFT(H151,3)))&amp;IF(I151="","","-"&amp;IF(ISNUMBER(SEARCH(" ",I151)),LEFT(I151,1)&amp;MID(I151,SEARCH(" ",I151)+1,1)&amp;IFERROR(MID(I151,SEARCH(" ",I151,SEARCH(" ",I151)+1)+1,1),""),LEFT(I151,3)))&amp;IF(D151="","","-"&amp;D151)&amp;"-"&amp;TEXT(COUNTIF($H$4:H151,H151),"000")</f>
        <v>ABA-CS-807-072</v>
      </c>
      <c r="H151" s="48" t="s">
        <v>611</v>
      </c>
      <c r="I151" s="48" t="s">
        <v>623</v>
      </c>
      <c r="J151" s="49" t="s">
        <v>481</v>
      </c>
      <c r="K151" s="50" t="s">
        <v>261</v>
      </c>
      <c r="L151" s="51" t="s">
        <v>135</v>
      </c>
      <c r="M151" s="51" t="s">
        <v>169</v>
      </c>
      <c r="N151" s="51" t="s">
        <v>335</v>
      </c>
      <c r="O151" s="51" t="s">
        <v>566</v>
      </c>
      <c r="P151" s="39">
        <v>0</v>
      </c>
      <c r="Q151" s="40">
        <f t="shared" si="65"/>
        <v>0</v>
      </c>
      <c r="R151" s="96">
        <v>12</v>
      </c>
      <c r="S151" s="158">
        <f t="shared" si="63"/>
        <v>4.8000000000000007</v>
      </c>
      <c r="T151" s="24">
        <v>18</v>
      </c>
      <c r="U151" s="52">
        <v>7</v>
      </c>
      <c r="V151" s="53">
        <f t="shared" si="64"/>
        <v>30</v>
      </c>
      <c r="W151" s="53">
        <f t="shared" si="66"/>
        <v>12</v>
      </c>
      <c r="X151" s="112">
        <v>53</v>
      </c>
      <c r="Y151" s="160"/>
      <c r="Z151" s="54">
        <f t="shared" si="55"/>
        <v>0</v>
      </c>
      <c r="AA151" s="54">
        <f t="shared" si="56"/>
        <v>0</v>
      </c>
      <c r="AB151" s="54">
        <f t="shared" si="57"/>
        <v>636</v>
      </c>
      <c r="AC151" s="54">
        <f t="shared" si="58"/>
        <v>254.40000000000003</v>
      </c>
      <c r="AD151" s="54">
        <f t="shared" si="59"/>
        <v>954</v>
      </c>
      <c r="AE151" s="54">
        <f t="shared" si="60"/>
        <v>371</v>
      </c>
      <c r="AF151" s="54">
        <f t="shared" si="61"/>
        <v>1590</v>
      </c>
      <c r="AG151" s="54">
        <f t="shared" si="62"/>
        <v>636</v>
      </c>
    </row>
    <row r="152" spans="1:33" ht="10" customHeight="1">
      <c r="A152" s="95">
        <v>149</v>
      </c>
      <c r="B152" s="124" t="s">
        <v>178</v>
      </c>
      <c r="C152" s="28" t="s">
        <v>0</v>
      </c>
      <c r="D152" s="28" t="s">
        <v>75</v>
      </c>
      <c r="E152" s="28" t="s">
        <v>16</v>
      </c>
      <c r="F152" s="28" t="s">
        <v>3</v>
      </c>
      <c r="G152" s="199" t="str">
        <f>IF(H152="","",IF(ISNUMBER(SEARCH(" ",H152)),LEFT(H152,1)&amp;MID(H152,SEARCH(" ",H152)+1,1)&amp;IFERROR(MID(H152,SEARCH(" ",H152,SEARCH(" ",H152)+1)+1,1),""),LEFT(H152,3)))&amp;IF(I152="","","-"&amp;IF(ISNUMBER(SEARCH(" ",I152)),LEFT(I152,1)&amp;MID(I152,SEARCH(" ",I152)+1,1)&amp;IFERROR(MID(I152,SEARCH(" ",I152,SEARCH(" ",I152)+1)+1,1),""),LEFT(I152,3)))&amp;IF(D152="","","-"&amp;D152)&amp;"-"&amp;TEXT(COUNTIF($H$4:H152,H152),"000")</f>
        <v>ABA-CL-803-073</v>
      </c>
      <c r="H152" s="48" t="s">
        <v>611</v>
      </c>
      <c r="I152" s="28" t="s">
        <v>622</v>
      </c>
      <c r="J152" s="29" t="s">
        <v>482</v>
      </c>
      <c r="K152" s="30" t="s">
        <v>262</v>
      </c>
      <c r="L152" s="31" t="s">
        <v>135</v>
      </c>
      <c r="M152" s="31" t="s">
        <v>170</v>
      </c>
      <c r="N152" s="31" t="s">
        <v>334</v>
      </c>
      <c r="O152" s="31" t="s">
        <v>584</v>
      </c>
      <c r="P152" s="39">
        <v>300</v>
      </c>
      <c r="Q152" s="40">
        <f t="shared" si="65"/>
        <v>120</v>
      </c>
      <c r="R152" s="96">
        <v>48</v>
      </c>
      <c r="S152" s="158">
        <f t="shared" si="63"/>
        <v>19.200000000000003</v>
      </c>
      <c r="T152" s="24">
        <v>27</v>
      </c>
      <c r="U152" s="52">
        <v>11</v>
      </c>
      <c r="V152" s="32">
        <f t="shared" si="64"/>
        <v>375</v>
      </c>
      <c r="W152" s="32">
        <f t="shared" si="66"/>
        <v>150</v>
      </c>
      <c r="X152" s="110">
        <v>24</v>
      </c>
      <c r="Y152" s="160"/>
      <c r="Z152" s="33">
        <f t="shared" si="55"/>
        <v>7200</v>
      </c>
      <c r="AA152" s="33">
        <f t="shared" si="56"/>
        <v>2880</v>
      </c>
      <c r="AB152" s="33">
        <f t="shared" si="57"/>
        <v>1152</v>
      </c>
      <c r="AC152" s="33">
        <f t="shared" si="58"/>
        <v>460.80000000000007</v>
      </c>
      <c r="AD152" s="33">
        <f t="shared" si="59"/>
        <v>648</v>
      </c>
      <c r="AE152" s="33">
        <f t="shared" si="60"/>
        <v>264</v>
      </c>
      <c r="AF152" s="33">
        <f t="shared" si="61"/>
        <v>9000</v>
      </c>
      <c r="AG152" s="33">
        <f t="shared" si="62"/>
        <v>3600</v>
      </c>
    </row>
    <row r="153" spans="1:33" ht="10" customHeight="1">
      <c r="A153" s="95">
        <v>150</v>
      </c>
      <c r="B153" s="126" t="s">
        <v>178</v>
      </c>
      <c r="C153" s="48" t="s">
        <v>0</v>
      </c>
      <c r="D153" s="48" t="s">
        <v>76</v>
      </c>
      <c r="E153" s="48" t="s">
        <v>10</v>
      </c>
      <c r="F153" s="48" t="s">
        <v>3</v>
      </c>
      <c r="G153" s="199" t="str">
        <f>IF(H153="","",IF(ISNUMBER(SEARCH(" ",H153)),LEFT(H153,1)&amp;MID(H153,SEARCH(" ",H153)+1,1)&amp;IFERROR(MID(H153,SEARCH(" ",H153,SEARCH(" ",H153)+1)+1,1),""),LEFT(H153,3)))&amp;IF(I153="","","-"&amp;IF(ISNUMBER(SEARCH(" ",I153)),LEFT(I153,1)&amp;MID(I153,SEARCH(" ",I153)+1,1)&amp;IFERROR(MID(I153,SEARCH(" ",I153,SEARCH(" ",I153)+1)+1,1),""),LEFT(I153,3)))&amp;IF(D153="","","-"&amp;D153)&amp;"-"&amp;TEXT(COUNTIF($H$4:H153,H153),"000")</f>
        <v>ABA-SAL-808-074</v>
      </c>
      <c r="H153" s="48" t="s">
        <v>611</v>
      </c>
      <c r="I153" s="48" t="s">
        <v>641</v>
      </c>
      <c r="J153" s="49" t="s">
        <v>483</v>
      </c>
      <c r="K153" s="50" t="s">
        <v>544</v>
      </c>
      <c r="L153" s="97" t="s">
        <v>135</v>
      </c>
      <c r="M153" s="51" t="s">
        <v>142</v>
      </c>
      <c r="N153" s="51" t="s">
        <v>166</v>
      </c>
      <c r="O153" s="51" t="s">
        <v>585</v>
      </c>
      <c r="P153" s="39">
        <v>840</v>
      </c>
      <c r="Q153" s="40">
        <f t="shared" si="65"/>
        <v>336</v>
      </c>
      <c r="R153" s="96">
        <v>240</v>
      </c>
      <c r="S153" s="158">
        <f t="shared" si="63"/>
        <v>96</v>
      </c>
      <c r="T153" s="24">
        <v>135</v>
      </c>
      <c r="U153" s="52">
        <f>T153*0.4</f>
        <v>54</v>
      </c>
      <c r="V153" s="53">
        <f t="shared" si="64"/>
        <v>1215</v>
      </c>
      <c r="W153" s="53">
        <f t="shared" si="66"/>
        <v>486</v>
      </c>
      <c r="X153" s="112">
        <v>12</v>
      </c>
      <c r="Y153" s="160"/>
      <c r="Z153" s="54">
        <f t="shared" si="55"/>
        <v>10080</v>
      </c>
      <c r="AA153" s="54">
        <f t="shared" si="56"/>
        <v>4032</v>
      </c>
      <c r="AB153" s="54">
        <f t="shared" si="57"/>
        <v>2880</v>
      </c>
      <c r="AC153" s="54">
        <f t="shared" si="58"/>
        <v>1152</v>
      </c>
      <c r="AD153" s="54">
        <f t="shared" si="59"/>
        <v>1620</v>
      </c>
      <c r="AE153" s="54">
        <f t="shared" si="60"/>
        <v>648</v>
      </c>
      <c r="AF153" s="54">
        <f t="shared" si="61"/>
        <v>14580</v>
      </c>
      <c r="AG153" s="54">
        <f t="shared" si="62"/>
        <v>5832</v>
      </c>
    </row>
    <row r="154" spans="1:33" ht="10" customHeight="1">
      <c r="A154" s="95">
        <v>151</v>
      </c>
      <c r="B154" s="124" t="s">
        <v>178</v>
      </c>
      <c r="C154" s="28" t="s">
        <v>0</v>
      </c>
      <c r="D154" s="28" t="s">
        <v>8</v>
      </c>
      <c r="E154" s="28" t="s">
        <v>27</v>
      </c>
      <c r="F154" s="28" t="s">
        <v>3</v>
      </c>
      <c r="G154" s="199" t="str">
        <f>IF(H154="","",IF(ISNUMBER(SEARCH(" ",H154)),LEFT(H154,1)&amp;MID(H154,SEARCH(" ",H154)+1,1)&amp;IFERROR(MID(H154,SEARCH(" ",H154,SEARCH(" ",H154)+1)+1,1),""),LEFT(H154,3)))&amp;IF(I154="","","-"&amp;IF(ISNUMBER(SEARCH(" ",I154)),LEFT(I154,1)&amp;MID(I154,SEARCH(" ",I154)+1,1)&amp;IFERROR(MID(I154,SEARCH(" ",I154,SEARCH(" ",I154)+1)+1,1),""),LEFT(I154,3)))&amp;IF(D154="","","-"&amp;D154)&amp;"-"&amp;TEXT(COUNTIF($H$4:H154,H154),"000")</f>
        <v>ABA-VI-809-075</v>
      </c>
      <c r="H154" s="48" t="s">
        <v>611</v>
      </c>
      <c r="I154" s="28" t="s">
        <v>662</v>
      </c>
      <c r="J154" s="29" t="s">
        <v>484</v>
      </c>
      <c r="K154" s="30" t="s">
        <v>263</v>
      </c>
      <c r="L154" s="31" t="s">
        <v>135</v>
      </c>
      <c r="M154" s="31" t="s">
        <v>171</v>
      </c>
      <c r="N154" s="31" t="s">
        <v>336</v>
      </c>
      <c r="O154" s="31" t="s">
        <v>586</v>
      </c>
      <c r="P154" s="39">
        <v>840</v>
      </c>
      <c r="Q154" s="40">
        <f t="shared" si="65"/>
        <v>336</v>
      </c>
      <c r="R154" s="96">
        <v>60</v>
      </c>
      <c r="S154" s="158">
        <f t="shared" si="63"/>
        <v>24</v>
      </c>
      <c r="T154" s="24">
        <v>45</v>
      </c>
      <c r="U154" s="52">
        <f>T154*0.4</f>
        <v>18</v>
      </c>
      <c r="V154" s="32">
        <f t="shared" si="64"/>
        <v>945</v>
      </c>
      <c r="W154" s="32">
        <f t="shared" si="66"/>
        <v>378</v>
      </c>
      <c r="X154" s="110">
        <v>42</v>
      </c>
      <c r="Y154" s="160"/>
      <c r="Z154" s="33">
        <f t="shared" si="55"/>
        <v>35280</v>
      </c>
      <c r="AA154" s="33">
        <f t="shared" si="56"/>
        <v>14112</v>
      </c>
      <c r="AB154" s="33">
        <f t="shared" si="57"/>
        <v>2520</v>
      </c>
      <c r="AC154" s="33">
        <f t="shared" si="58"/>
        <v>1008</v>
      </c>
      <c r="AD154" s="33">
        <f t="shared" si="59"/>
        <v>1890</v>
      </c>
      <c r="AE154" s="33">
        <f t="shared" si="60"/>
        <v>756</v>
      </c>
      <c r="AF154" s="33">
        <f t="shared" si="61"/>
        <v>39690</v>
      </c>
      <c r="AG154" s="33">
        <f t="shared" si="62"/>
        <v>15876</v>
      </c>
    </row>
    <row r="155" spans="1:33" ht="10" customHeight="1">
      <c r="A155" s="95">
        <v>152</v>
      </c>
      <c r="B155" s="126" t="s">
        <v>178</v>
      </c>
      <c r="C155" s="48" t="s">
        <v>0</v>
      </c>
      <c r="D155" s="48" t="s">
        <v>76</v>
      </c>
      <c r="E155" s="48" t="s">
        <v>7</v>
      </c>
      <c r="F155" s="48" t="s">
        <v>21</v>
      </c>
      <c r="G155" s="199" t="str">
        <f>IF(H155="","",IF(ISNUMBER(SEARCH(" ",H155)),LEFT(H155,1)&amp;MID(H155,SEARCH(" ",H155)+1,1)&amp;IFERROR(MID(H155,SEARCH(" ",H155,SEARCH(" ",H155)+1)+1,1),""),LEFT(H155,3)))&amp;IF(I155="","","-"&amp;IF(ISNUMBER(SEARCH(" ",I155)),LEFT(I155,1)&amp;MID(I155,SEARCH(" ",I155)+1,1)&amp;IFERROR(MID(I155,SEARCH(" ",I155,SEARCH(" ",I155)+1)+1,1),""),LEFT(I155,3)))&amp;IF(D155="","","-"&amp;D155)&amp;"-"&amp;TEXT(COUNTIF($H$4:H155,H155),"000")</f>
        <v>ABA-CL-808-076</v>
      </c>
      <c r="H155" s="48" t="s">
        <v>611</v>
      </c>
      <c r="I155" s="48" t="s">
        <v>622</v>
      </c>
      <c r="J155" s="49" t="s">
        <v>485</v>
      </c>
      <c r="K155" s="50" t="s">
        <v>264</v>
      </c>
      <c r="L155" s="51" t="s">
        <v>135</v>
      </c>
      <c r="M155" s="51" t="s">
        <v>172</v>
      </c>
      <c r="N155" s="51" t="s">
        <v>336</v>
      </c>
      <c r="O155" s="51" t="s">
        <v>587</v>
      </c>
      <c r="P155" s="39">
        <v>12</v>
      </c>
      <c r="Q155" s="40">
        <f t="shared" si="65"/>
        <v>4.8000000000000007</v>
      </c>
      <c r="R155" s="96">
        <v>0</v>
      </c>
      <c r="S155" s="158">
        <f t="shared" si="63"/>
        <v>0</v>
      </c>
      <c r="T155" s="24">
        <v>0</v>
      </c>
      <c r="U155" s="52">
        <f>T155*0.4</f>
        <v>0</v>
      </c>
      <c r="V155" s="53">
        <f t="shared" si="64"/>
        <v>12</v>
      </c>
      <c r="W155" s="53">
        <f t="shared" si="66"/>
        <v>4.8000000000000007</v>
      </c>
      <c r="X155" s="112">
        <v>52</v>
      </c>
      <c r="Y155" s="160"/>
      <c r="Z155" s="54">
        <f t="shared" si="55"/>
        <v>624</v>
      </c>
      <c r="AA155" s="54">
        <f t="shared" si="56"/>
        <v>249.60000000000002</v>
      </c>
      <c r="AB155" s="54">
        <f t="shared" si="57"/>
        <v>0</v>
      </c>
      <c r="AC155" s="54">
        <f t="shared" si="58"/>
        <v>0</v>
      </c>
      <c r="AD155" s="54">
        <f t="shared" si="59"/>
        <v>0</v>
      </c>
      <c r="AE155" s="54">
        <f t="shared" si="60"/>
        <v>0</v>
      </c>
      <c r="AF155" s="54">
        <f t="shared" si="61"/>
        <v>624</v>
      </c>
      <c r="AG155" s="54">
        <f t="shared" si="62"/>
        <v>249.60000000000002</v>
      </c>
    </row>
    <row r="156" spans="1:33" ht="10" customHeight="1">
      <c r="A156" s="95">
        <v>153</v>
      </c>
      <c r="B156" s="124" t="s">
        <v>178</v>
      </c>
      <c r="C156" s="28" t="s">
        <v>0</v>
      </c>
      <c r="D156" s="120" t="s">
        <v>25</v>
      </c>
      <c r="E156" s="28" t="s">
        <v>72</v>
      </c>
      <c r="F156" s="28" t="s">
        <v>3</v>
      </c>
      <c r="G156" s="199" t="str">
        <f>IF(H156="","",IF(ISNUMBER(SEARCH(" ",H156)),LEFT(H156,1)&amp;MID(H156,SEARCH(" ",H156)+1,1)&amp;IFERROR(MID(H156,SEARCH(" ",H156,SEARCH(" ",H156)+1)+1,1),""),LEFT(H156,3)))&amp;IF(I156="","","-"&amp;IF(ISNUMBER(SEARCH(" ",I156)),LEFT(I156,1)&amp;MID(I156,SEARCH(" ",I156)+1,1)&amp;IFERROR(MID(I156,SEARCH(" ",I156,SEARCH(" ",I156)+1)+1,1),""),LEFT(I156,3)))&amp;IF(D156="","","-"&amp;D156)&amp;"-"&amp;TEXT(COUNTIF($H$4:H156,H156),"000")</f>
        <v>ABA-VEE-806-077</v>
      </c>
      <c r="H156" s="48" t="s">
        <v>611</v>
      </c>
      <c r="I156" s="120" t="s">
        <v>660</v>
      </c>
      <c r="J156" s="29" t="s">
        <v>486</v>
      </c>
      <c r="K156" s="30" t="s">
        <v>545</v>
      </c>
      <c r="L156" s="31" t="s">
        <v>135</v>
      </c>
      <c r="M156" s="31" t="s">
        <v>173</v>
      </c>
      <c r="N156" s="31" t="s">
        <v>145</v>
      </c>
      <c r="O156" s="31" t="s">
        <v>588</v>
      </c>
      <c r="P156" s="39">
        <v>12</v>
      </c>
      <c r="Q156" s="40">
        <f t="shared" si="65"/>
        <v>4.8000000000000007</v>
      </c>
      <c r="R156" s="96">
        <v>3</v>
      </c>
      <c r="S156" s="158">
        <f t="shared" si="63"/>
        <v>1.2000000000000002</v>
      </c>
      <c r="T156" s="24">
        <v>18</v>
      </c>
      <c r="U156" s="52">
        <v>7</v>
      </c>
      <c r="V156" s="32">
        <f t="shared" si="64"/>
        <v>33</v>
      </c>
      <c r="W156" s="32">
        <f t="shared" si="66"/>
        <v>13.200000000000001</v>
      </c>
      <c r="X156" s="110">
        <v>31</v>
      </c>
      <c r="Y156" s="160"/>
      <c r="Z156" s="33">
        <f t="shared" si="55"/>
        <v>372</v>
      </c>
      <c r="AA156" s="33">
        <f t="shared" si="56"/>
        <v>148.80000000000001</v>
      </c>
      <c r="AB156" s="33">
        <f t="shared" si="57"/>
        <v>93</v>
      </c>
      <c r="AC156" s="33">
        <f t="shared" si="58"/>
        <v>37.200000000000003</v>
      </c>
      <c r="AD156" s="33">
        <f t="shared" si="59"/>
        <v>558</v>
      </c>
      <c r="AE156" s="33">
        <f t="shared" si="60"/>
        <v>217</v>
      </c>
      <c r="AF156" s="33">
        <f t="shared" si="61"/>
        <v>1023</v>
      </c>
      <c r="AG156" s="33">
        <f t="shared" si="62"/>
        <v>409.20000000000005</v>
      </c>
    </row>
    <row r="157" spans="1:33" ht="10" customHeight="1">
      <c r="A157" s="95">
        <v>154</v>
      </c>
      <c r="B157" s="126" t="s">
        <v>178</v>
      </c>
      <c r="C157" s="48" t="s">
        <v>0</v>
      </c>
      <c r="D157" s="120" t="s">
        <v>25</v>
      </c>
      <c r="E157" s="48" t="s">
        <v>78</v>
      </c>
      <c r="F157" s="48" t="s">
        <v>3</v>
      </c>
      <c r="G157" s="199" t="str">
        <f>IF(H157="","",IF(ISNUMBER(SEARCH(" ",H157)),LEFT(H157,1)&amp;MID(H157,SEARCH(" ",H157)+1,1)&amp;IFERROR(MID(H157,SEARCH(" ",H157,SEARCH(" ",H157)+1)+1,1),""),LEFT(H157,3)))&amp;IF(I157="","","-"&amp;IF(ISNUMBER(SEARCH(" ",I157)),LEFT(I157,1)&amp;MID(I157,SEARCH(" ",I157)+1,1)&amp;IFERROR(MID(I157,SEARCH(" ",I157,SEARCH(" ",I157)+1)+1,1),""),LEFT(I157,3)))&amp;IF(D157="","","-"&amp;D157)&amp;"-"&amp;TEXT(COUNTIF($H$4:H157,H157),"000")</f>
        <v>ABA-VEE-806-078</v>
      </c>
      <c r="H157" s="48" t="s">
        <v>611</v>
      </c>
      <c r="I157" s="120" t="s">
        <v>660</v>
      </c>
      <c r="J157" s="49" t="s">
        <v>487</v>
      </c>
      <c r="K157" s="50" t="s">
        <v>79</v>
      </c>
      <c r="L157" s="51" t="s">
        <v>135</v>
      </c>
      <c r="M157" s="51" t="s">
        <v>173</v>
      </c>
      <c r="N157" s="51" t="s">
        <v>145</v>
      </c>
      <c r="O157" s="51" t="s">
        <v>588</v>
      </c>
      <c r="P157" s="39">
        <v>0</v>
      </c>
      <c r="Q157" s="40">
        <f t="shared" si="65"/>
        <v>0</v>
      </c>
      <c r="R157" s="96">
        <v>0</v>
      </c>
      <c r="S157" s="158">
        <f t="shared" si="63"/>
        <v>0</v>
      </c>
      <c r="T157" s="24">
        <v>0</v>
      </c>
      <c r="U157" s="52">
        <f>T157*0.4</f>
        <v>0</v>
      </c>
      <c r="V157" s="53">
        <f t="shared" si="64"/>
        <v>0</v>
      </c>
      <c r="W157" s="53">
        <f t="shared" si="66"/>
        <v>0</v>
      </c>
      <c r="X157" s="106">
        <v>31</v>
      </c>
      <c r="Y157" s="160"/>
      <c r="Z157" s="54">
        <f t="shared" si="55"/>
        <v>0</v>
      </c>
      <c r="AA157" s="54">
        <f t="shared" si="56"/>
        <v>0</v>
      </c>
      <c r="AB157" s="54">
        <f t="shared" si="57"/>
        <v>0</v>
      </c>
      <c r="AC157" s="54">
        <f t="shared" si="58"/>
        <v>0</v>
      </c>
      <c r="AD157" s="54">
        <f t="shared" si="59"/>
        <v>0</v>
      </c>
      <c r="AE157" s="54">
        <f t="shared" si="60"/>
        <v>0</v>
      </c>
      <c r="AF157" s="54">
        <f t="shared" si="61"/>
        <v>0</v>
      </c>
      <c r="AG157" s="54">
        <f t="shared" si="62"/>
        <v>0</v>
      </c>
    </row>
    <row r="158" spans="1:33" ht="10" customHeight="1">
      <c r="A158" s="95">
        <v>155</v>
      </c>
      <c r="B158" s="124" t="s">
        <v>178</v>
      </c>
      <c r="C158" s="28" t="s">
        <v>0</v>
      </c>
      <c r="D158" s="120" t="s">
        <v>25</v>
      </c>
      <c r="E158" s="28" t="s">
        <v>80</v>
      </c>
      <c r="F158" s="28" t="s">
        <v>3</v>
      </c>
      <c r="G158" s="199" t="str">
        <f>IF(H158="","",IF(ISNUMBER(SEARCH(" ",H158)),LEFT(H158,1)&amp;MID(H158,SEARCH(" ",H158)+1,1)&amp;IFERROR(MID(H158,SEARCH(" ",H158,SEARCH(" ",H158)+1)+1,1),""),LEFT(H158,3)))&amp;IF(I158="","","-"&amp;IF(ISNUMBER(SEARCH(" ",I158)),LEFT(I158,1)&amp;MID(I158,SEARCH(" ",I158)+1,1)&amp;IFERROR(MID(I158,SEARCH(" ",I158,SEARCH(" ",I158)+1)+1,1),""),LEFT(I158,3)))&amp;IF(D158="","","-"&amp;D158)&amp;"-"&amp;TEXT(COUNTIF($H$4:H158,H158),"000")</f>
        <v>ABA-VEE-806-079</v>
      </c>
      <c r="H158" s="48" t="s">
        <v>611</v>
      </c>
      <c r="I158" s="120" t="s">
        <v>660</v>
      </c>
      <c r="J158" s="29" t="s">
        <v>488</v>
      </c>
      <c r="K158" s="30" t="s">
        <v>81</v>
      </c>
      <c r="L158" s="31" t="s">
        <v>135</v>
      </c>
      <c r="M158" s="31" t="s">
        <v>173</v>
      </c>
      <c r="N158" s="31" t="s">
        <v>145</v>
      </c>
      <c r="O158" s="31" t="s">
        <v>588</v>
      </c>
      <c r="P158" s="39">
        <v>0</v>
      </c>
      <c r="Q158" s="40">
        <f t="shared" si="65"/>
        <v>0</v>
      </c>
      <c r="R158" s="96">
        <v>0</v>
      </c>
      <c r="S158" s="158">
        <f t="shared" si="63"/>
        <v>0</v>
      </c>
      <c r="T158" s="24">
        <v>18</v>
      </c>
      <c r="U158" s="52">
        <v>7</v>
      </c>
      <c r="V158" s="32">
        <f t="shared" si="64"/>
        <v>18</v>
      </c>
      <c r="W158" s="32">
        <f t="shared" si="66"/>
        <v>7.2</v>
      </c>
      <c r="X158" s="110">
        <v>32</v>
      </c>
      <c r="Y158" s="160"/>
      <c r="Z158" s="33">
        <f t="shared" si="55"/>
        <v>0</v>
      </c>
      <c r="AA158" s="33">
        <f t="shared" si="56"/>
        <v>0</v>
      </c>
      <c r="AB158" s="33">
        <f t="shared" si="57"/>
        <v>0</v>
      </c>
      <c r="AC158" s="33">
        <f t="shared" si="58"/>
        <v>0</v>
      </c>
      <c r="AD158" s="33">
        <f t="shared" si="59"/>
        <v>576</v>
      </c>
      <c r="AE158" s="33">
        <f t="shared" si="60"/>
        <v>224</v>
      </c>
      <c r="AF158" s="33">
        <f t="shared" si="61"/>
        <v>576</v>
      </c>
      <c r="AG158" s="33">
        <f t="shared" si="62"/>
        <v>230.4</v>
      </c>
    </row>
    <row r="159" spans="1:33" ht="10" customHeight="1">
      <c r="A159" s="95">
        <v>156</v>
      </c>
      <c r="B159" s="126" t="s">
        <v>178</v>
      </c>
      <c r="C159" s="48" t="s">
        <v>0</v>
      </c>
      <c r="D159" s="48" t="s">
        <v>76</v>
      </c>
      <c r="E159" s="48" t="s">
        <v>24</v>
      </c>
      <c r="F159" s="48" t="s">
        <v>3</v>
      </c>
      <c r="G159" s="199" t="str">
        <f>IF(H159="","",IF(ISNUMBER(SEARCH(" ",H159)),LEFT(H159,1)&amp;MID(H159,SEARCH(" ",H159)+1,1)&amp;IFERROR(MID(H159,SEARCH(" ",H159,SEARCH(" ",H159)+1)+1,1),""),LEFT(H159,3)))&amp;IF(I159="","","-"&amp;IF(ISNUMBER(SEARCH(" ",I159)),LEFT(I159,1)&amp;MID(I159,SEARCH(" ",I159)+1,1)&amp;IFERROR(MID(I159,SEARCH(" ",I159,SEARCH(" ",I159)+1)+1,1),""),LEFT(I159,3)))&amp;IF(D159="","","-"&amp;D159)&amp;"-"&amp;TEXT(COUNTIF($H$4:H159,H159),"000")</f>
        <v>ABA-CL-808-080</v>
      </c>
      <c r="H159" s="48" t="s">
        <v>611</v>
      </c>
      <c r="I159" s="48" t="s">
        <v>622</v>
      </c>
      <c r="J159" s="49" t="s">
        <v>489</v>
      </c>
      <c r="K159" s="50" t="s">
        <v>546</v>
      </c>
      <c r="L159" s="51" t="s">
        <v>135</v>
      </c>
      <c r="M159" s="51" t="s">
        <v>136</v>
      </c>
      <c r="N159" s="51" t="s">
        <v>336</v>
      </c>
      <c r="O159" s="51" t="s">
        <v>589</v>
      </c>
      <c r="P159" s="39">
        <v>48</v>
      </c>
      <c r="Q159" s="40">
        <f t="shared" si="65"/>
        <v>19.200000000000003</v>
      </c>
      <c r="R159" s="96">
        <v>24</v>
      </c>
      <c r="S159" s="158">
        <f t="shared" si="63"/>
        <v>9.6000000000000014</v>
      </c>
      <c r="T159" s="24">
        <v>18</v>
      </c>
      <c r="U159" s="52">
        <v>7</v>
      </c>
      <c r="V159" s="53">
        <f t="shared" si="64"/>
        <v>90</v>
      </c>
      <c r="W159" s="53">
        <f t="shared" si="66"/>
        <v>36</v>
      </c>
      <c r="X159" s="112">
        <v>18</v>
      </c>
      <c r="Y159" s="160"/>
      <c r="Z159" s="54">
        <f t="shared" si="55"/>
        <v>864</v>
      </c>
      <c r="AA159" s="54">
        <f t="shared" si="56"/>
        <v>345.6</v>
      </c>
      <c r="AB159" s="54">
        <f t="shared" si="57"/>
        <v>432</v>
      </c>
      <c r="AC159" s="54">
        <f t="shared" si="58"/>
        <v>172.8</v>
      </c>
      <c r="AD159" s="54">
        <f t="shared" si="59"/>
        <v>324</v>
      </c>
      <c r="AE159" s="54">
        <f t="shared" si="60"/>
        <v>126</v>
      </c>
      <c r="AF159" s="54">
        <f t="shared" si="61"/>
        <v>1620</v>
      </c>
      <c r="AG159" s="54">
        <f t="shared" si="62"/>
        <v>648</v>
      </c>
    </row>
    <row r="160" spans="1:33" ht="10" customHeight="1">
      <c r="A160" s="98">
        <v>157</v>
      </c>
      <c r="B160" s="130" t="s">
        <v>178</v>
      </c>
      <c r="C160" s="99" t="s">
        <v>0</v>
      </c>
      <c r="D160" s="99" t="s">
        <v>15</v>
      </c>
      <c r="E160" s="99" t="s">
        <v>16</v>
      </c>
      <c r="F160" s="99" t="s">
        <v>44</v>
      </c>
      <c r="G160" s="199" t="str">
        <f>IF(H160="","",IF(ISNUMBER(SEARCH(" ",H160)),LEFT(H160,1)&amp;MID(H160,SEARCH(" ",H160)+1,1)&amp;IFERROR(MID(H160,SEARCH(" ",H160,SEARCH(" ",H160)+1)+1,1),""),LEFT(H160,3)))&amp;IF(I160="","","-"&amp;IF(ISNUMBER(SEARCH(" ",I160)),LEFT(I160,1)&amp;MID(I160,SEARCH(" ",I160)+1,1)&amp;IFERROR(MID(I160,SEARCH(" ",I160,SEARCH(" ",I160)+1)+1,1),""),LEFT(I160,3)))&amp;IF(D160="","","-"&amp;D160)&amp;"-"&amp;TEXT(COUNTIF($H$4:H160,H160),"000")</f>
        <v>ABA-CSY-106-081</v>
      </c>
      <c r="H160" s="99" t="s">
        <v>611</v>
      </c>
      <c r="I160" s="99" t="s">
        <v>618</v>
      </c>
      <c r="J160" s="100" t="s">
        <v>490</v>
      </c>
      <c r="K160" s="101" t="s">
        <v>525</v>
      </c>
      <c r="L160" s="102" t="s">
        <v>143</v>
      </c>
      <c r="M160" s="102" t="s">
        <v>179</v>
      </c>
      <c r="N160" s="102" t="s">
        <v>143</v>
      </c>
      <c r="O160" s="102" t="s">
        <v>590</v>
      </c>
      <c r="P160" s="39">
        <v>0</v>
      </c>
      <c r="Q160" s="40">
        <v>0</v>
      </c>
      <c r="R160" s="23">
        <v>1140</v>
      </c>
      <c r="S160" s="158">
        <f t="shared" ref="S160:S184" si="67">R160*0.4</f>
        <v>456</v>
      </c>
      <c r="T160" s="24">
        <v>0</v>
      </c>
      <c r="U160" s="52">
        <v>0</v>
      </c>
      <c r="V160" s="103">
        <f t="shared" ref="V160:V184" si="68">P160+R160+T160</f>
        <v>1140</v>
      </c>
      <c r="W160" s="103">
        <f>V160*0.4</f>
        <v>456</v>
      </c>
      <c r="X160" s="116">
        <v>55.3</v>
      </c>
      <c r="Y160" s="160"/>
      <c r="Z160" s="104">
        <f t="shared" si="55"/>
        <v>0</v>
      </c>
      <c r="AA160" s="104">
        <f t="shared" si="56"/>
        <v>0</v>
      </c>
      <c r="AB160" s="104">
        <f t="shared" si="57"/>
        <v>63042</v>
      </c>
      <c r="AC160" s="104">
        <f t="shared" si="58"/>
        <v>25216.799999999999</v>
      </c>
      <c r="AD160" s="104">
        <f t="shared" si="59"/>
        <v>0</v>
      </c>
      <c r="AE160" s="104">
        <f t="shared" si="60"/>
        <v>0</v>
      </c>
      <c r="AF160" s="104">
        <f t="shared" si="61"/>
        <v>63042</v>
      </c>
      <c r="AG160" s="104">
        <f t="shared" si="62"/>
        <v>25216.799999999999</v>
      </c>
    </row>
    <row r="161" spans="1:33" ht="10" customHeight="1">
      <c r="A161" s="98">
        <v>158</v>
      </c>
      <c r="B161" s="124" t="s">
        <v>178</v>
      </c>
      <c r="C161" s="28" t="s">
        <v>0</v>
      </c>
      <c r="D161" s="28" t="s">
        <v>15</v>
      </c>
      <c r="E161" s="28" t="s">
        <v>16</v>
      </c>
      <c r="F161" s="28" t="s">
        <v>17</v>
      </c>
      <c r="G161" s="199" t="str">
        <f>IF(H161="","",IF(ISNUMBER(SEARCH(" ",H161)),LEFT(H161,1)&amp;MID(H161,SEARCH(" ",H161)+1,1)&amp;IFERROR(MID(H161,SEARCH(" ",H161,SEARCH(" ",H161)+1)+1,1),""),LEFT(H161,3)))&amp;IF(I161="","","-"&amp;IF(ISNUMBER(SEARCH(" ",I161)),LEFT(I161,1)&amp;MID(I161,SEARCH(" ",I161)+1,1)&amp;IFERROR(MID(I161,SEARCH(" ",I161,SEARCH(" ",I161)+1)+1,1),""),LEFT(I161,3)))&amp;IF(D161="","","-"&amp;D161)&amp;"-"&amp;TEXT(COUNTIF($H$4:H161,H161),"000")</f>
        <v>ABA-CSY-106-082</v>
      </c>
      <c r="H161" s="121" t="s">
        <v>611</v>
      </c>
      <c r="I161" s="121" t="s">
        <v>618</v>
      </c>
      <c r="J161" s="29" t="s">
        <v>491</v>
      </c>
      <c r="K161" s="30" t="s">
        <v>526</v>
      </c>
      <c r="L161" s="31" t="s">
        <v>143</v>
      </c>
      <c r="M161" s="31" t="s">
        <v>144</v>
      </c>
      <c r="N161" s="31" t="s">
        <v>143</v>
      </c>
      <c r="O161" s="31" t="s">
        <v>590</v>
      </c>
      <c r="P161" s="39">
        <v>336</v>
      </c>
      <c r="Q161" s="40">
        <f>(P161*0.4)</f>
        <v>134.4</v>
      </c>
      <c r="R161" s="23">
        <v>0</v>
      </c>
      <c r="S161" s="158">
        <f t="shared" si="67"/>
        <v>0</v>
      </c>
      <c r="T161" s="24">
        <v>0</v>
      </c>
      <c r="U161" s="52">
        <v>0</v>
      </c>
      <c r="V161" s="32">
        <f t="shared" si="68"/>
        <v>336</v>
      </c>
      <c r="W161" s="32">
        <f t="shared" ref="W161:W184" si="69">V161*0.4</f>
        <v>134.4</v>
      </c>
      <c r="X161" s="110">
        <v>308</v>
      </c>
      <c r="Y161" s="160"/>
      <c r="Z161" s="33">
        <f t="shared" si="55"/>
        <v>103488</v>
      </c>
      <c r="AA161" s="33">
        <f t="shared" si="56"/>
        <v>41395.200000000004</v>
      </c>
      <c r="AB161" s="33">
        <f t="shared" si="57"/>
        <v>0</v>
      </c>
      <c r="AC161" s="33">
        <f t="shared" si="58"/>
        <v>0</v>
      </c>
      <c r="AD161" s="33">
        <f t="shared" si="59"/>
        <v>0</v>
      </c>
      <c r="AE161" s="33">
        <f t="shared" si="60"/>
        <v>0</v>
      </c>
      <c r="AF161" s="33">
        <f t="shared" si="61"/>
        <v>103488</v>
      </c>
      <c r="AG161" s="33">
        <f t="shared" si="62"/>
        <v>41395.200000000004</v>
      </c>
    </row>
    <row r="162" spans="1:33" ht="10" customHeight="1">
      <c r="A162" s="98">
        <v>159</v>
      </c>
      <c r="B162" s="130" t="s">
        <v>178</v>
      </c>
      <c r="C162" s="99" t="s">
        <v>0</v>
      </c>
      <c r="D162" s="99" t="s">
        <v>15</v>
      </c>
      <c r="E162" s="99" t="s">
        <v>2</v>
      </c>
      <c r="F162" s="99" t="s">
        <v>44</v>
      </c>
      <c r="G162" s="199" t="str">
        <f>IF(H162="","",IF(ISNUMBER(SEARCH(" ",H162)),LEFT(H162,1)&amp;MID(H162,SEARCH(" ",H162)+1,1)&amp;IFERROR(MID(H162,SEARCH(" ",H162,SEARCH(" ",H162)+1)+1,1),""),LEFT(H162,3)))&amp;IF(I162="","","-"&amp;IF(ISNUMBER(SEARCH(" ",I162)),LEFT(I162,1)&amp;MID(I162,SEARCH(" ",I162)+1,1)&amp;IFERROR(MID(I162,SEARCH(" ",I162,SEARCH(" ",I162)+1)+1,1),""),LEFT(I162,3)))&amp;IF(D162="","","-"&amp;D162)&amp;"-"&amp;TEXT(COUNTIF($H$4:H162,H162),"000")</f>
        <v>ABA-CSY-106-083</v>
      </c>
      <c r="H162" s="99" t="s">
        <v>611</v>
      </c>
      <c r="I162" s="99" t="s">
        <v>618</v>
      </c>
      <c r="J162" s="100" t="s">
        <v>492</v>
      </c>
      <c r="K162" s="101" t="s">
        <v>527</v>
      </c>
      <c r="L162" s="102" t="s">
        <v>143</v>
      </c>
      <c r="M162" s="102" t="s">
        <v>179</v>
      </c>
      <c r="N162" s="102" t="s">
        <v>143</v>
      </c>
      <c r="O162" s="102" t="s">
        <v>590</v>
      </c>
      <c r="P162" s="39">
        <v>8400</v>
      </c>
      <c r="Q162" s="40">
        <f t="shared" ref="Q162:Q184" si="70">(P162*0.4)</f>
        <v>3360</v>
      </c>
      <c r="R162" s="23">
        <v>840</v>
      </c>
      <c r="S162" s="158">
        <f t="shared" si="67"/>
        <v>336</v>
      </c>
      <c r="T162" s="24">
        <v>9600</v>
      </c>
      <c r="U162" s="52">
        <v>3840</v>
      </c>
      <c r="V162" s="103">
        <f t="shared" si="68"/>
        <v>18840</v>
      </c>
      <c r="W162" s="103">
        <f t="shared" si="69"/>
        <v>7536</v>
      </c>
      <c r="X162" s="116">
        <v>51.5</v>
      </c>
      <c r="Y162" s="160"/>
      <c r="Z162" s="104">
        <f t="shared" si="55"/>
        <v>432600</v>
      </c>
      <c r="AA162" s="104">
        <f t="shared" si="56"/>
        <v>173040</v>
      </c>
      <c r="AB162" s="104">
        <f t="shared" si="57"/>
        <v>43260</v>
      </c>
      <c r="AC162" s="104">
        <f t="shared" si="58"/>
        <v>17304</v>
      </c>
      <c r="AD162" s="104">
        <f t="shared" si="59"/>
        <v>494400</v>
      </c>
      <c r="AE162" s="104">
        <f t="shared" si="60"/>
        <v>197760</v>
      </c>
      <c r="AF162" s="104">
        <f t="shared" si="61"/>
        <v>970260</v>
      </c>
      <c r="AG162" s="104">
        <f t="shared" si="62"/>
        <v>388104</v>
      </c>
    </row>
    <row r="163" spans="1:33" ht="10" customHeight="1">
      <c r="A163" s="98">
        <v>160</v>
      </c>
      <c r="B163" s="124" t="s">
        <v>178</v>
      </c>
      <c r="C163" s="28" t="s">
        <v>0</v>
      </c>
      <c r="D163" s="28" t="s">
        <v>15</v>
      </c>
      <c r="E163" s="28" t="s">
        <v>2</v>
      </c>
      <c r="F163" s="28" t="s">
        <v>17</v>
      </c>
      <c r="G163" s="199" t="str">
        <f>IF(H163="","",IF(ISNUMBER(SEARCH(" ",H163)),LEFT(H163,1)&amp;MID(H163,SEARCH(" ",H163)+1,1)&amp;IFERROR(MID(H163,SEARCH(" ",H163,SEARCH(" ",H163)+1)+1,1),""),LEFT(H163,3)))&amp;IF(I163="","","-"&amp;IF(ISNUMBER(SEARCH(" ",I163)),LEFT(I163,1)&amp;MID(I163,SEARCH(" ",I163)+1,1)&amp;IFERROR(MID(I163,SEARCH(" ",I163,SEARCH(" ",I163)+1)+1,1),""),LEFT(I163,3)))&amp;IF(D163="","","-"&amp;D163)&amp;"-"&amp;TEXT(COUNTIF($H$4:H163,H163),"000")</f>
        <v>ABA-CSY-106-084</v>
      </c>
      <c r="H163" s="121" t="s">
        <v>611</v>
      </c>
      <c r="I163" s="121" t="s">
        <v>618</v>
      </c>
      <c r="J163" s="29" t="s">
        <v>493</v>
      </c>
      <c r="K163" s="30" t="s">
        <v>18</v>
      </c>
      <c r="L163" s="31" t="s">
        <v>143</v>
      </c>
      <c r="M163" s="31" t="s">
        <v>144</v>
      </c>
      <c r="N163" s="31" t="s">
        <v>143</v>
      </c>
      <c r="O163" s="31" t="s">
        <v>590</v>
      </c>
      <c r="P163" s="39">
        <v>0</v>
      </c>
      <c r="Q163" s="40">
        <f t="shared" si="70"/>
        <v>0</v>
      </c>
      <c r="R163" s="23">
        <v>0</v>
      </c>
      <c r="S163" s="158">
        <f t="shared" si="67"/>
        <v>0</v>
      </c>
      <c r="T163" s="24">
        <v>0</v>
      </c>
      <c r="U163" s="52">
        <v>0</v>
      </c>
      <c r="V163" s="32">
        <f t="shared" si="68"/>
        <v>0</v>
      </c>
      <c r="W163" s="32">
        <f t="shared" si="69"/>
        <v>0</v>
      </c>
      <c r="X163" s="105">
        <v>308</v>
      </c>
      <c r="Y163" s="160"/>
      <c r="Z163" s="33">
        <f t="shared" si="55"/>
        <v>0</v>
      </c>
      <c r="AA163" s="33">
        <f t="shared" si="56"/>
        <v>0</v>
      </c>
      <c r="AB163" s="33">
        <f t="shared" si="57"/>
        <v>0</v>
      </c>
      <c r="AC163" s="33">
        <f t="shared" si="58"/>
        <v>0</v>
      </c>
      <c r="AD163" s="33">
        <f t="shared" si="59"/>
        <v>0</v>
      </c>
      <c r="AE163" s="33">
        <f t="shared" si="60"/>
        <v>0</v>
      </c>
      <c r="AF163" s="33">
        <f t="shared" si="61"/>
        <v>0</v>
      </c>
      <c r="AG163" s="33">
        <f t="shared" si="62"/>
        <v>0</v>
      </c>
    </row>
    <row r="164" spans="1:33" ht="10" customHeight="1">
      <c r="A164" s="98">
        <v>161</v>
      </c>
      <c r="B164" s="130" t="s">
        <v>178</v>
      </c>
      <c r="C164" s="99" t="s">
        <v>0</v>
      </c>
      <c r="D164" s="99" t="s">
        <v>28</v>
      </c>
      <c r="E164" s="99" t="s">
        <v>29</v>
      </c>
      <c r="F164" s="99" t="s">
        <v>3</v>
      </c>
      <c r="G164" s="199" t="str">
        <f>IF(H164="","",IF(ISNUMBER(SEARCH(" ",H164)),LEFT(H164,1)&amp;MID(H164,SEARCH(" ",H164)+1,1)&amp;IFERROR(MID(H164,SEARCH(" ",H164,SEARCH(" ",H164)+1)+1,1),""),LEFT(H164,3)))&amp;IF(I164="","","-"&amp;IF(ISNUMBER(SEARCH(" ",I164)),LEFT(I164,1)&amp;MID(I164,SEARCH(" ",I164)+1,1)&amp;IFERROR(MID(I164,SEARCH(" ",I164,SEARCH(" ",I164)+1)+1,1),""),LEFT(I164,3)))&amp;IF(D164="","","-"&amp;D164)&amp;"-"&amp;TEXT(COUNTIF($H$4:H164,H164),"000")</f>
        <v>ABA-VI-302-085</v>
      </c>
      <c r="H164" s="99" t="s">
        <v>611</v>
      </c>
      <c r="I164" s="99" t="s">
        <v>662</v>
      </c>
      <c r="J164" s="100" t="s">
        <v>494</v>
      </c>
      <c r="K164" s="101" t="s">
        <v>265</v>
      </c>
      <c r="L164" s="102" t="s">
        <v>143</v>
      </c>
      <c r="M164" s="102" t="s">
        <v>150</v>
      </c>
      <c r="N164" s="102" t="s">
        <v>143</v>
      </c>
      <c r="O164" s="102" t="s">
        <v>591</v>
      </c>
      <c r="P164" s="39">
        <v>420</v>
      </c>
      <c r="Q164" s="40">
        <f t="shared" si="70"/>
        <v>168</v>
      </c>
      <c r="R164" s="23">
        <v>0</v>
      </c>
      <c r="S164" s="158">
        <f t="shared" si="67"/>
        <v>0</v>
      </c>
      <c r="T164" s="24">
        <v>0</v>
      </c>
      <c r="U164" s="52">
        <v>0</v>
      </c>
      <c r="V164" s="103">
        <f t="shared" si="68"/>
        <v>420</v>
      </c>
      <c r="W164" s="103">
        <f t="shared" si="69"/>
        <v>168</v>
      </c>
      <c r="X164" s="116">
        <v>43.5</v>
      </c>
      <c r="Y164" s="160"/>
      <c r="Z164" s="104">
        <f t="shared" ref="Z164:Z184" si="71">X164*P164</f>
        <v>18270</v>
      </c>
      <c r="AA164" s="104">
        <f t="shared" ref="AA164:AA184" si="72">X164*Q164</f>
        <v>7308</v>
      </c>
      <c r="AB164" s="104">
        <f t="shared" ref="AB164:AB184" si="73">X164*R164</f>
        <v>0</v>
      </c>
      <c r="AC164" s="104">
        <f t="shared" ref="AC164:AC184" si="74">X164*S164</f>
        <v>0</v>
      </c>
      <c r="AD164" s="104">
        <f t="shared" ref="AD164:AD184" si="75">X164*T164</f>
        <v>0</v>
      </c>
      <c r="AE164" s="104">
        <f t="shared" ref="AE164:AE184" si="76">X164*U164</f>
        <v>0</v>
      </c>
      <c r="AF164" s="104">
        <f t="shared" ref="AF164:AF184" si="77">X164*V164</f>
        <v>18270</v>
      </c>
      <c r="AG164" s="104">
        <f t="shared" ref="AG164:AG184" si="78">X164*W164</f>
        <v>7308</v>
      </c>
    </row>
    <row r="165" spans="1:33" ht="10" customHeight="1">
      <c r="A165" s="98">
        <v>162</v>
      </c>
      <c r="B165" s="124" t="s">
        <v>178</v>
      </c>
      <c r="C165" s="28" t="s">
        <v>0</v>
      </c>
      <c r="D165" s="28" t="s">
        <v>28</v>
      </c>
      <c r="E165" s="28" t="s">
        <v>30</v>
      </c>
      <c r="F165" s="28" t="s">
        <v>44</v>
      </c>
      <c r="G165" s="199" t="str">
        <f>IF(H165="","",IF(ISNUMBER(SEARCH(" ",H165)),LEFT(H165,1)&amp;MID(H165,SEARCH(" ",H165)+1,1)&amp;IFERROR(MID(H165,SEARCH(" ",H165,SEARCH(" ",H165)+1)+1,1),""),LEFT(H165,3)))&amp;IF(I165="","","-"&amp;IF(ISNUMBER(SEARCH(" ",I165)),LEFT(I165,1)&amp;MID(I165,SEARCH(" ",I165)+1,1)&amp;IFERROR(MID(I165,SEARCH(" ",I165,SEARCH(" ",I165)+1)+1,1),""),LEFT(I165,3)))&amp;IF(D165="","","-"&amp;D165)&amp;"-"&amp;TEXT(COUNTIF($H$4:H165,H165),"000")</f>
        <v>ABA-VI-302-086</v>
      </c>
      <c r="H165" s="121" t="s">
        <v>611</v>
      </c>
      <c r="I165" s="28" t="s">
        <v>662</v>
      </c>
      <c r="J165" s="29" t="s">
        <v>495</v>
      </c>
      <c r="K165" s="30" t="s">
        <v>266</v>
      </c>
      <c r="L165" s="31" t="s">
        <v>143</v>
      </c>
      <c r="M165" s="31" t="s">
        <v>151</v>
      </c>
      <c r="N165" s="31" t="s">
        <v>143</v>
      </c>
      <c r="O165" s="31" t="s">
        <v>559</v>
      </c>
      <c r="P165" s="39">
        <v>0</v>
      </c>
      <c r="Q165" s="40">
        <f t="shared" si="70"/>
        <v>0</v>
      </c>
      <c r="R165" s="23">
        <v>0</v>
      </c>
      <c r="S165" s="158">
        <f t="shared" si="67"/>
        <v>0</v>
      </c>
      <c r="T165" s="24">
        <v>0</v>
      </c>
      <c r="U165" s="52">
        <v>0</v>
      </c>
      <c r="V165" s="32">
        <f t="shared" si="68"/>
        <v>0</v>
      </c>
      <c r="W165" s="32">
        <f t="shared" si="69"/>
        <v>0</v>
      </c>
      <c r="X165" s="105">
        <v>15.5</v>
      </c>
      <c r="Y165" s="160"/>
      <c r="Z165" s="33">
        <f t="shared" si="71"/>
        <v>0</v>
      </c>
      <c r="AA165" s="33">
        <f t="shared" si="72"/>
        <v>0</v>
      </c>
      <c r="AB165" s="33">
        <f t="shared" si="73"/>
        <v>0</v>
      </c>
      <c r="AC165" s="33">
        <f t="shared" si="74"/>
        <v>0</v>
      </c>
      <c r="AD165" s="33">
        <f t="shared" si="75"/>
        <v>0</v>
      </c>
      <c r="AE165" s="33">
        <f t="shared" si="76"/>
        <v>0</v>
      </c>
      <c r="AF165" s="33">
        <f t="shared" si="77"/>
        <v>0</v>
      </c>
      <c r="AG165" s="33">
        <f t="shared" si="78"/>
        <v>0</v>
      </c>
    </row>
    <row r="166" spans="1:33" ht="10" customHeight="1">
      <c r="A166" s="98">
        <v>163</v>
      </c>
      <c r="B166" s="130" t="s">
        <v>178</v>
      </c>
      <c r="C166" s="99" t="s">
        <v>0</v>
      </c>
      <c r="D166" s="99" t="s">
        <v>28</v>
      </c>
      <c r="E166" s="99" t="s">
        <v>31</v>
      </c>
      <c r="F166" s="99" t="s">
        <v>21</v>
      </c>
      <c r="G166" s="199" t="str">
        <f>IF(H166="","",IF(ISNUMBER(SEARCH(" ",H166)),LEFT(H166,1)&amp;MID(H166,SEARCH(" ",H166)+1,1)&amp;IFERROR(MID(H166,SEARCH(" ",H166,SEARCH(" ",H166)+1)+1,1),""),LEFT(H166,3)))&amp;IF(I166="","","-"&amp;IF(ISNUMBER(SEARCH(" ",I166)),LEFT(I166,1)&amp;MID(I166,SEARCH(" ",I166)+1,1)&amp;IFERROR(MID(I166,SEARCH(" ",I166,SEARCH(" ",I166)+1)+1,1),""),LEFT(I166,3)))&amp;IF(D166="","","-"&amp;D166)&amp;"-"&amp;TEXT(COUNTIF($H$4:H166,H166),"000")</f>
        <v>ABA-VI-302-087</v>
      </c>
      <c r="H166" s="99" t="s">
        <v>611</v>
      </c>
      <c r="I166" s="99" t="s">
        <v>662</v>
      </c>
      <c r="J166" s="100" t="s">
        <v>496</v>
      </c>
      <c r="K166" s="101" t="s">
        <v>267</v>
      </c>
      <c r="L166" s="102" t="s">
        <v>143</v>
      </c>
      <c r="M166" s="102" t="s">
        <v>150</v>
      </c>
      <c r="N166" s="102" t="s">
        <v>143</v>
      </c>
      <c r="O166" s="102" t="s">
        <v>592</v>
      </c>
      <c r="P166" s="39">
        <v>1080</v>
      </c>
      <c r="Q166" s="40">
        <f t="shared" si="70"/>
        <v>432</v>
      </c>
      <c r="R166" s="23">
        <v>360</v>
      </c>
      <c r="S166" s="158">
        <f t="shared" si="67"/>
        <v>144</v>
      </c>
      <c r="T166" s="24">
        <v>840</v>
      </c>
      <c r="U166" s="52">
        <v>336</v>
      </c>
      <c r="V166" s="103">
        <f t="shared" si="68"/>
        <v>2280</v>
      </c>
      <c r="W166" s="103">
        <f t="shared" si="69"/>
        <v>912</v>
      </c>
      <c r="X166" s="116">
        <v>69.2</v>
      </c>
      <c r="Y166" s="160"/>
      <c r="Z166" s="104">
        <f t="shared" si="71"/>
        <v>74736</v>
      </c>
      <c r="AA166" s="104">
        <f t="shared" si="72"/>
        <v>29894.400000000001</v>
      </c>
      <c r="AB166" s="104">
        <f t="shared" si="73"/>
        <v>24912</v>
      </c>
      <c r="AC166" s="104">
        <f t="shared" si="74"/>
        <v>9964.8000000000011</v>
      </c>
      <c r="AD166" s="104">
        <f t="shared" si="75"/>
        <v>58128</v>
      </c>
      <c r="AE166" s="104">
        <f t="shared" si="76"/>
        <v>23251.200000000001</v>
      </c>
      <c r="AF166" s="104">
        <f t="shared" si="77"/>
        <v>157776</v>
      </c>
      <c r="AG166" s="104">
        <f t="shared" si="78"/>
        <v>63110.400000000001</v>
      </c>
    </row>
    <row r="167" spans="1:33" ht="10" customHeight="1">
      <c r="A167" s="98">
        <v>164</v>
      </c>
      <c r="B167" s="124" t="s">
        <v>178</v>
      </c>
      <c r="C167" s="28" t="s">
        <v>0</v>
      </c>
      <c r="D167" s="28" t="s">
        <v>28</v>
      </c>
      <c r="E167" s="28" t="s">
        <v>32</v>
      </c>
      <c r="F167" s="28" t="s">
        <v>3</v>
      </c>
      <c r="G167" s="199" t="str">
        <f>IF(H167="","",IF(ISNUMBER(SEARCH(" ",H167)),LEFT(H167,1)&amp;MID(H167,SEARCH(" ",H167)+1,1)&amp;IFERROR(MID(H167,SEARCH(" ",H167,SEARCH(" ",H167)+1)+1,1),""),LEFT(H167,3)))&amp;IF(I167="","","-"&amp;IF(ISNUMBER(SEARCH(" ",I167)),LEFT(I167,1)&amp;MID(I167,SEARCH(" ",I167)+1,1)&amp;IFERROR(MID(I167,SEARCH(" ",I167,SEARCH(" ",I167)+1)+1,1),""),LEFT(I167,3)))&amp;IF(D167="","","-"&amp;D167)&amp;"-"&amp;TEXT(COUNTIF($H$4:H167,H167),"000")</f>
        <v>ABA-VS-302-088</v>
      </c>
      <c r="H167" s="121" t="s">
        <v>611</v>
      </c>
      <c r="I167" s="28" t="s">
        <v>663</v>
      </c>
      <c r="J167" s="29" t="s">
        <v>497</v>
      </c>
      <c r="K167" s="30" t="s">
        <v>268</v>
      </c>
      <c r="L167" s="31" t="s">
        <v>141</v>
      </c>
      <c r="M167" s="31" t="s">
        <v>174</v>
      </c>
      <c r="N167" s="31" t="s">
        <v>141</v>
      </c>
      <c r="O167" s="31" t="s">
        <v>516</v>
      </c>
      <c r="P167" s="39">
        <v>36</v>
      </c>
      <c r="Q167" s="40">
        <f t="shared" si="70"/>
        <v>14.4</v>
      </c>
      <c r="R167" s="23">
        <v>4.5</v>
      </c>
      <c r="S167" s="158">
        <f t="shared" si="67"/>
        <v>1.8</v>
      </c>
      <c r="T167" s="24">
        <v>48</v>
      </c>
      <c r="U167" s="52">
        <v>19</v>
      </c>
      <c r="V167" s="32">
        <f t="shared" si="68"/>
        <v>88.5</v>
      </c>
      <c r="W167" s="32">
        <f t="shared" si="69"/>
        <v>35.4</v>
      </c>
      <c r="X167" s="110">
        <v>148</v>
      </c>
      <c r="Y167" s="160"/>
      <c r="Z167" s="33">
        <f t="shared" si="71"/>
        <v>5328</v>
      </c>
      <c r="AA167" s="33">
        <f t="shared" si="72"/>
        <v>2131.2000000000003</v>
      </c>
      <c r="AB167" s="33">
        <f t="shared" si="73"/>
        <v>666</v>
      </c>
      <c r="AC167" s="33">
        <f t="shared" si="74"/>
        <v>266.40000000000003</v>
      </c>
      <c r="AD167" s="33">
        <f t="shared" si="75"/>
        <v>7104</v>
      </c>
      <c r="AE167" s="33">
        <f t="shared" si="76"/>
        <v>2812</v>
      </c>
      <c r="AF167" s="33">
        <f t="shared" si="77"/>
        <v>13098</v>
      </c>
      <c r="AG167" s="33">
        <f t="shared" si="78"/>
        <v>5239.2</v>
      </c>
    </row>
    <row r="168" spans="1:33" ht="10" customHeight="1">
      <c r="A168" s="98">
        <v>165</v>
      </c>
      <c r="B168" s="130" t="s">
        <v>178</v>
      </c>
      <c r="C168" s="99" t="s">
        <v>0</v>
      </c>
      <c r="D168" s="99" t="s">
        <v>28</v>
      </c>
      <c r="E168" s="99" t="s">
        <v>33</v>
      </c>
      <c r="F168" s="99" t="s">
        <v>3</v>
      </c>
      <c r="G168" s="199" t="str">
        <f>IF(H168="","",IF(ISNUMBER(SEARCH(" ",H168)),LEFT(H168,1)&amp;MID(H168,SEARCH(" ",H168)+1,1)&amp;IFERROR(MID(H168,SEARCH(" ",H168,SEARCH(" ",H168)+1)+1,1),""),LEFT(H168,3)))&amp;IF(I168="","","-"&amp;IF(ISNUMBER(SEARCH(" ",I168)),LEFT(I168,1)&amp;MID(I168,SEARCH(" ",I168)+1,1)&amp;IFERROR(MID(I168,SEARCH(" ",I168,SEARCH(" ",I168)+1)+1,1),""),LEFT(I168,3)))&amp;IF(D168="","","-"&amp;D168)&amp;"-"&amp;TEXT(COUNTIF($H$4:H168,H168),"000")</f>
        <v>ABA-VS-302-089</v>
      </c>
      <c r="H168" s="99" t="s">
        <v>611</v>
      </c>
      <c r="I168" s="99" t="s">
        <v>663</v>
      </c>
      <c r="J168" s="100" t="s">
        <v>498</v>
      </c>
      <c r="K168" s="101" t="s">
        <v>269</v>
      </c>
      <c r="L168" s="102" t="s">
        <v>141</v>
      </c>
      <c r="M168" s="102" t="s">
        <v>174</v>
      </c>
      <c r="N168" s="102" t="s">
        <v>141</v>
      </c>
      <c r="O168" s="102" t="s">
        <v>516</v>
      </c>
      <c r="P168" s="39">
        <v>7.5</v>
      </c>
      <c r="Q168" s="40">
        <f t="shared" si="70"/>
        <v>3</v>
      </c>
      <c r="R168" s="23">
        <v>3</v>
      </c>
      <c r="S168" s="158">
        <f t="shared" si="67"/>
        <v>1.2000000000000002</v>
      </c>
      <c r="T168" s="24">
        <v>48</v>
      </c>
      <c r="U168" s="52">
        <v>19</v>
      </c>
      <c r="V168" s="103">
        <f t="shared" si="68"/>
        <v>58.5</v>
      </c>
      <c r="W168" s="103">
        <f t="shared" si="69"/>
        <v>23.400000000000002</v>
      </c>
      <c r="X168" s="116">
        <v>148.5</v>
      </c>
      <c r="Y168" s="160"/>
      <c r="Z168" s="104">
        <f t="shared" si="71"/>
        <v>1113.75</v>
      </c>
      <c r="AA168" s="104">
        <f t="shared" si="72"/>
        <v>445.5</v>
      </c>
      <c r="AB168" s="104">
        <f t="shared" si="73"/>
        <v>445.5</v>
      </c>
      <c r="AC168" s="104">
        <f t="shared" si="74"/>
        <v>178.20000000000002</v>
      </c>
      <c r="AD168" s="104">
        <f t="shared" si="75"/>
        <v>7128</v>
      </c>
      <c r="AE168" s="104">
        <f t="shared" si="76"/>
        <v>2821.5</v>
      </c>
      <c r="AF168" s="104">
        <f t="shared" si="77"/>
        <v>8687.25</v>
      </c>
      <c r="AG168" s="104">
        <f t="shared" si="78"/>
        <v>3474.9</v>
      </c>
    </row>
    <row r="169" spans="1:33" ht="10" customHeight="1">
      <c r="A169" s="98">
        <v>166</v>
      </c>
      <c r="B169" s="124" t="s">
        <v>178</v>
      </c>
      <c r="C169" s="28" t="s">
        <v>0</v>
      </c>
      <c r="D169" s="28" t="s">
        <v>28</v>
      </c>
      <c r="E169" s="28" t="s">
        <v>34</v>
      </c>
      <c r="F169" s="28" t="s">
        <v>3</v>
      </c>
      <c r="G169" s="199" t="str">
        <f>IF(H169="","",IF(ISNUMBER(SEARCH(" ",H169)),LEFT(H169,1)&amp;MID(H169,SEARCH(" ",H169)+1,1)&amp;IFERROR(MID(H169,SEARCH(" ",H169,SEARCH(" ",H169)+1)+1,1),""),LEFT(H169,3)))&amp;IF(I169="","","-"&amp;IF(ISNUMBER(SEARCH(" ",I169)),LEFT(I169,1)&amp;MID(I169,SEARCH(" ",I169)+1,1)&amp;IFERROR(MID(I169,SEARCH(" ",I169,SEARCH(" ",I169)+1)+1,1),""),LEFT(I169,3)))&amp;IF(D169="","","-"&amp;D169)&amp;"-"&amp;TEXT(COUNTIF($H$4:H169,H169),"000")</f>
        <v>ABA-VS-302-090</v>
      </c>
      <c r="H169" s="121" t="s">
        <v>611</v>
      </c>
      <c r="I169" s="28" t="s">
        <v>663</v>
      </c>
      <c r="J169" s="29" t="s">
        <v>499</v>
      </c>
      <c r="K169" s="30" t="s">
        <v>35</v>
      </c>
      <c r="L169" s="31" t="s">
        <v>141</v>
      </c>
      <c r="M169" s="31" t="s">
        <v>174</v>
      </c>
      <c r="N169" s="31" t="s">
        <v>141</v>
      </c>
      <c r="O169" s="31" t="s">
        <v>516</v>
      </c>
      <c r="P169" s="39">
        <v>0</v>
      </c>
      <c r="Q169" s="40">
        <f t="shared" si="70"/>
        <v>0</v>
      </c>
      <c r="R169" s="23">
        <v>0</v>
      </c>
      <c r="S169" s="158">
        <f t="shared" si="67"/>
        <v>0</v>
      </c>
      <c r="T169" s="24">
        <v>24</v>
      </c>
      <c r="U169" s="52">
        <v>10</v>
      </c>
      <c r="V169" s="32">
        <f t="shared" si="68"/>
        <v>24</v>
      </c>
      <c r="W169" s="32">
        <f t="shared" si="69"/>
        <v>9.6000000000000014</v>
      </c>
      <c r="X169" s="110">
        <v>126</v>
      </c>
      <c r="Y169" s="160"/>
      <c r="Z169" s="33">
        <f t="shared" si="71"/>
        <v>0</v>
      </c>
      <c r="AA169" s="33">
        <f t="shared" si="72"/>
        <v>0</v>
      </c>
      <c r="AB169" s="33">
        <f t="shared" si="73"/>
        <v>0</v>
      </c>
      <c r="AC169" s="33">
        <f t="shared" si="74"/>
        <v>0</v>
      </c>
      <c r="AD169" s="33">
        <f t="shared" si="75"/>
        <v>3024</v>
      </c>
      <c r="AE169" s="33">
        <f t="shared" si="76"/>
        <v>1260</v>
      </c>
      <c r="AF169" s="33">
        <f t="shared" si="77"/>
        <v>3024</v>
      </c>
      <c r="AG169" s="33">
        <f t="shared" si="78"/>
        <v>1209.6000000000001</v>
      </c>
    </row>
    <row r="170" spans="1:33" ht="10" customHeight="1">
      <c r="A170" s="98">
        <v>167</v>
      </c>
      <c r="B170" s="130" t="s">
        <v>178</v>
      </c>
      <c r="C170" s="99" t="s">
        <v>0</v>
      </c>
      <c r="D170" s="99" t="s">
        <v>28</v>
      </c>
      <c r="E170" s="99" t="s">
        <v>36</v>
      </c>
      <c r="F170" s="99" t="s">
        <v>3</v>
      </c>
      <c r="G170" s="199" t="str">
        <f>IF(H170="","",IF(ISNUMBER(SEARCH(" ",H170)),LEFT(H170,1)&amp;MID(H170,SEARCH(" ",H170)+1,1)&amp;IFERROR(MID(H170,SEARCH(" ",H170,SEARCH(" ",H170)+1)+1,1),""),LEFT(H170,3)))&amp;IF(I170="","","-"&amp;IF(ISNUMBER(SEARCH(" ",I170)),LEFT(I170,1)&amp;MID(I170,SEARCH(" ",I170)+1,1)&amp;IFERROR(MID(I170,SEARCH(" ",I170,SEARCH(" ",I170)+1)+1,1),""),LEFT(I170,3)))&amp;IF(D170="","","-"&amp;D170)&amp;"-"&amp;TEXT(COUNTIF($H$4:H170,H170),"000")</f>
        <v>ABA-VS-302-091</v>
      </c>
      <c r="H170" s="99" t="s">
        <v>611</v>
      </c>
      <c r="I170" s="99" t="s">
        <v>663</v>
      </c>
      <c r="J170" s="100" t="s">
        <v>500</v>
      </c>
      <c r="K170" s="101" t="s">
        <v>270</v>
      </c>
      <c r="L170" s="102" t="s">
        <v>141</v>
      </c>
      <c r="M170" s="102" t="s">
        <v>174</v>
      </c>
      <c r="N170" s="102" t="s">
        <v>141</v>
      </c>
      <c r="O170" s="102" t="s">
        <v>516</v>
      </c>
      <c r="P170" s="39">
        <v>6</v>
      </c>
      <c r="Q170" s="40">
        <f t="shared" si="70"/>
        <v>2.4000000000000004</v>
      </c>
      <c r="R170" s="23">
        <v>3</v>
      </c>
      <c r="S170" s="158">
        <f t="shared" si="67"/>
        <v>1.2000000000000002</v>
      </c>
      <c r="T170" s="24">
        <v>0</v>
      </c>
      <c r="U170" s="52">
        <f t="shared" ref="U170:U184" si="79">(T170*0.4)</f>
        <v>0</v>
      </c>
      <c r="V170" s="103">
        <f t="shared" si="68"/>
        <v>9</v>
      </c>
      <c r="W170" s="103">
        <f t="shared" si="69"/>
        <v>3.6</v>
      </c>
      <c r="X170" s="116">
        <v>136</v>
      </c>
      <c r="Y170" s="160"/>
      <c r="Z170" s="104">
        <f t="shared" si="71"/>
        <v>816</v>
      </c>
      <c r="AA170" s="104">
        <f t="shared" si="72"/>
        <v>326.40000000000003</v>
      </c>
      <c r="AB170" s="104">
        <f t="shared" si="73"/>
        <v>408</v>
      </c>
      <c r="AC170" s="104">
        <f t="shared" si="74"/>
        <v>163.20000000000002</v>
      </c>
      <c r="AD170" s="104">
        <f t="shared" si="75"/>
        <v>0</v>
      </c>
      <c r="AE170" s="104">
        <f t="shared" si="76"/>
        <v>0</v>
      </c>
      <c r="AF170" s="104">
        <f t="shared" si="77"/>
        <v>1224</v>
      </c>
      <c r="AG170" s="104">
        <f t="shared" si="78"/>
        <v>489.6</v>
      </c>
    </row>
    <row r="171" spans="1:33" ht="10" customHeight="1">
      <c r="A171" s="98">
        <v>168</v>
      </c>
      <c r="B171" s="124" t="s">
        <v>178</v>
      </c>
      <c r="C171" s="28" t="s">
        <v>0</v>
      </c>
      <c r="D171" s="28" t="s">
        <v>28</v>
      </c>
      <c r="E171" s="28" t="s">
        <v>37</v>
      </c>
      <c r="F171" s="28" t="s">
        <v>3</v>
      </c>
      <c r="G171" s="199" t="str">
        <f>IF(H171="","",IF(ISNUMBER(SEARCH(" ",H171)),LEFT(H171,1)&amp;MID(H171,SEARCH(" ",H171)+1,1)&amp;IFERROR(MID(H171,SEARCH(" ",H171,SEARCH(" ",H171)+1)+1,1),""),LEFT(H171,3)))&amp;IF(I171="","","-"&amp;IF(ISNUMBER(SEARCH(" ",I171)),LEFT(I171,1)&amp;MID(I171,SEARCH(" ",I171)+1,1)&amp;IFERROR(MID(I171,SEARCH(" ",I171,SEARCH(" ",I171)+1)+1,1),""),LEFT(I171,3)))&amp;IF(D171="","","-"&amp;D171)&amp;"-"&amp;TEXT(COUNTIF($H$4:H171,H171),"000")</f>
        <v>ABA-VS-302-092</v>
      </c>
      <c r="H171" s="121" t="s">
        <v>611</v>
      </c>
      <c r="I171" s="28" t="s">
        <v>663</v>
      </c>
      <c r="J171" s="29" t="s">
        <v>501</v>
      </c>
      <c r="K171" s="30" t="s">
        <v>38</v>
      </c>
      <c r="L171" s="31" t="s">
        <v>141</v>
      </c>
      <c r="M171" s="31" t="s">
        <v>174</v>
      </c>
      <c r="N171" s="31" t="s">
        <v>141</v>
      </c>
      <c r="O171" s="31" t="s">
        <v>516</v>
      </c>
      <c r="P171" s="39">
        <v>36</v>
      </c>
      <c r="Q171" s="40">
        <f t="shared" si="70"/>
        <v>14.4</v>
      </c>
      <c r="R171" s="23">
        <v>27</v>
      </c>
      <c r="S171" s="158">
        <f t="shared" si="67"/>
        <v>10.8</v>
      </c>
      <c r="T171" s="24">
        <v>72</v>
      </c>
      <c r="U171" s="52">
        <v>29</v>
      </c>
      <c r="V171" s="32">
        <f t="shared" si="68"/>
        <v>135</v>
      </c>
      <c r="W171" s="32">
        <f t="shared" si="69"/>
        <v>54</v>
      </c>
      <c r="X171" s="110">
        <v>146</v>
      </c>
      <c r="Y171" s="160"/>
      <c r="Z171" s="33">
        <f t="shared" si="71"/>
        <v>5256</v>
      </c>
      <c r="AA171" s="33">
        <f t="shared" si="72"/>
        <v>2102.4</v>
      </c>
      <c r="AB171" s="33">
        <f t="shared" si="73"/>
        <v>3942</v>
      </c>
      <c r="AC171" s="33">
        <f t="shared" si="74"/>
        <v>1576.8000000000002</v>
      </c>
      <c r="AD171" s="33">
        <f t="shared" si="75"/>
        <v>10512</v>
      </c>
      <c r="AE171" s="33">
        <f t="shared" si="76"/>
        <v>4234</v>
      </c>
      <c r="AF171" s="33">
        <f t="shared" si="77"/>
        <v>19710</v>
      </c>
      <c r="AG171" s="33">
        <f t="shared" si="78"/>
        <v>7884</v>
      </c>
    </row>
    <row r="172" spans="1:33" ht="10" customHeight="1">
      <c r="A172" s="98">
        <v>169</v>
      </c>
      <c r="B172" s="130" t="s">
        <v>178</v>
      </c>
      <c r="C172" s="99" t="s">
        <v>0</v>
      </c>
      <c r="D172" s="99" t="s">
        <v>28</v>
      </c>
      <c r="E172" s="99" t="s">
        <v>39</v>
      </c>
      <c r="F172" s="99" t="s">
        <v>3</v>
      </c>
      <c r="G172" s="199" t="str">
        <f>IF(H172="","",IF(ISNUMBER(SEARCH(" ",H172)),LEFT(H172,1)&amp;MID(H172,SEARCH(" ",H172)+1,1)&amp;IFERROR(MID(H172,SEARCH(" ",H172,SEARCH(" ",H172)+1)+1,1),""),LEFT(H172,3)))&amp;IF(I172="","","-"&amp;IF(ISNUMBER(SEARCH(" ",I172)),LEFT(I172,1)&amp;MID(I172,SEARCH(" ",I172)+1,1)&amp;IFERROR(MID(I172,SEARCH(" ",I172,SEARCH(" ",I172)+1)+1,1),""),LEFT(I172,3)))&amp;IF(D172="","","-"&amp;D172)&amp;"-"&amp;TEXT(COUNTIF($H$4:H172,H172),"000")</f>
        <v>ABA-VS-302-093</v>
      </c>
      <c r="H172" s="99" t="s">
        <v>611</v>
      </c>
      <c r="I172" s="99" t="s">
        <v>663</v>
      </c>
      <c r="J172" s="100" t="s">
        <v>502</v>
      </c>
      <c r="K172" s="101" t="s">
        <v>40</v>
      </c>
      <c r="L172" s="102" t="s">
        <v>141</v>
      </c>
      <c r="M172" s="102" t="s">
        <v>174</v>
      </c>
      <c r="N172" s="102" t="s">
        <v>141</v>
      </c>
      <c r="O172" s="102" t="s">
        <v>516</v>
      </c>
      <c r="P172" s="39">
        <v>36</v>
      </c>
      <c r="Q172" s="40">
        <f t="shared" si="70"/>
        <v>14.4</v>
      </c>
      <c r="R172" s="23">
        <v>4.5</v>
      </c>
      <c r="S172" s="158">
        <f t="shared" si="67"/>
        <v>1.8</v>
      </c>
      <c r="T172" s="24">
        <v>24</v>
      </c>
      <c r="U172" s="52">
        <v>10</v>
      </c>
      <c r="V172" s="103">
        <f t="shared" si="68"/>
        <v>64.5</v>
      </c>
      <c r="W172" s="103">
        <f t="shared" si="69"/>
        <v>25.8</v>
      </c>
      <c r="X172" s="116">
        <v>128.5</v>
      </c>
      <c r="Y172" s="160"/>
      <c r="Z172" s="104">
        <f t="shared" si="71"/>
        <v>4626</v>
      </c>
      <c r="AA172" s="104">
        <f t="shared" si="72"/>
        <v>1850.4</v>
      </c>
      <c r="AB172" s="104">
        <f t="shared" si="73"/>
        <v>578.25</v>
      </c>
      <c r="AC172" s="104">
        <f t="shared" si="74"/>
        <v>231.3</v>
      </c>
      <c r="AD172" s="104">
        <f t="shared" si="75"/>
        <v>3084</v>
      </c>
      <c r="AE172" s="104">
        <f t="shared" si="76"/>
        <v>1285</v>
      </c>
      <c r="AF172" s="104">
        <f t="shared" si="77"/>
        <v>8288.25</v>
      </c>
      <c r="AG172" s="104">
        <f t="shared" si="78"/>
        <v>3315.3</v>
      </c>
    </row>
    <row r="173" spans="1:33" ht="10" customHeight="1">
      <c r="A173" s="98">
        <v>170</v>
      </c>
      <c r="B173" s="124" t="s">
        <v>178</v>
      </c>
      <c r="C173" s="28" t="s">
        <v>0</v>
      </c>
      <c r="D173" s="28" t="s">
        <v>28</v>
      </c>
      <c r="E173" s="28" t="s">
        <v>41</v>
      </c>
      <c r="F173" s="28" t="s">
        <v>3</v>
      </c>
      <c r="G173" s="199" t="str">
        <f>IF(H173="","",IF(ISNUMBER(SEARCH(" ",H173)),LEFT(H173,1)&amp;MID(H173,SEARCH(" ",H173)+1,1)&amp;IFERROR(MID(H173,SEARCH(" ",H173,SEARCH(" ",H173)+1)+1,1),""),LEFT(H173,3)))&amp;IF(I173="","","-"&amp;IF(ISNUMBER(SEARCH(" ",I173)),LEFT(I173,1)&amp;MID(I173,SEARCH(" ",I173)+1,1)&amp;IFERROR(MID(I173,SEARCH(" ",I173,SEARCH(" ",I173)+1)+1,1),""),LEFT(I173,3)))&amp;IF(D173="","","-"&amp;D173)&amp;"-"&amp;TEXT(COUNTIF($H$4:H173,H173),"000")</f>
        <v>ABA-VS-302-094</v>
      </c>
      <c r="H173" s="121" t="s">
        <v>611</v>
      </c>
      <c r="I173" s="28" t="s">
        <v>663</v>
      </c>
      <c r="J173" s="29" t="s">
        <v>503</v>
      </c>
      <c r="K173" s="30" t="s">
        <v>271</v>
      </c>
      <c r="L173" s="31" t="s">
        <v>141</v>
      </c>
      <c r="M173" s="31" t="s">
        <v>174</v>
      </c>
      <c r="N173" s="31" t="s">
        <v>141</v>
      </c>
      <c r="O173" s="31" t="s">
        <v>516</v>
      </c>
      <c r="P173" s="39">
        <v>0</v>
      </c>
      <c r="Q173" s="40">
        <f t="shared" si="70"/>
        <v>0</v>
      </c>
      <c r="R173" s="23">
        <v>0</v>
      </c>
      <c r="S173" s="158">
        <f t="shared" si="67"/>
        <v>0</v>
      </c>
      <c r="T173" s="24">
        <v>0</v>
      </c>
      <c r="U173" s="52">
        <f t="shared" si="79"/>
        <v>0</v>
      </c>
      <c r="V173" s="32">
        <f t="shared" si="68"/>
        <v>0</v>
      </c>
      <c r="W173" s="32">
        <f t="shared" si="69"/>
        <v>0</v>
      </c>
      <c r="X173" s="105">
        <v>148</v>
      </c>
      <c r="Y173" s="160"/>
      <c r="Z173" s="33">
        <f t="shared" si="71"/>
        <v>0</v>
      </c>
      <c r="AA173" s="33">
        <f t="shared" si="72"/>
        <v>0</v>
      </c>
      <c r="AB173" s="33">
        <f t="shared" si="73"/>
        <v>0</v>
      </c>
      <c r="AC173" s="33">
        <f t="shared" si="74"/>
        <v>0</v>
      </c>
      <c r="AD173" s="33">
        <f t="shared" si="75"/>
        <v>0</v>
      </c>
      <c r="AE173" s="33">
        <f t="shared" si="76"/>
        <v>0</v>
      </c>
      <c r="AF173" s="33">
        <f t="shared" si="77"/>
        <v>0</v>
      </c>
      <c r="AG173" s="33">
        <f t="shared" si="78"/>
        <v>0</v>
      </c>
    </row>
    <row r="174" spans="1:33" ht="10" customHeight="1">
      <c r="A174" s="98">
        <v>171</v>
      </c>
      <c r="B174" s="130" t="s">
        <v>178</v>
      </c>
      <c r="C174" s="99" t="s">
        <v>0</v>
      </c>
      <c r="D174" s="99" t="s">
        <v>28</v>
      </c>
      <c r="E174" s="99" t="s">
        <v>42</v>
      </c>
      <c r="F174" s="99" t="s">
        <v>3</v>
      </c>
      <c r="G174" s="199" t="str">
        <f>IF(H174="","",IF(ISNUMBER(SEARCH(" ",H174)),LEFT(H174,1)&amp;MID(H174,SEARCH(" ",H174)+1,1)&amp;IFERROR(MID(H174,SEARCH(" ",H174,SEARCH(" ",H174)+1)+1,1),""),LEFT(H174,3)))&amp;IF(I174="","","-"&amp;IF(ISNUMBER(SEARCH(" ",I174)),LEFT(I174,1)&amp;MID(I174,SEARCH(" ",I174)+1,1)&amp;IFERROR(MID(I174,SEARCH(" ",I174,SEARCH(" ",I174)+1)+1,1),""),LEFT(I174,3)))&amp;IF(D174="","","-"&amp;D174)&amp;"-"&amp;TEXT(COUNTIF($H$4:H174,H174),"000")</f>
        <v>ABA-VS-302-095</v>
      </c>
      <c r="H174" s="99" t="s">
        <v>611</v>
      </c>
      <c r="I174" s="99" t="s">
        <v>663</v>
      </c>
      <c r="J174" s="100" t="s">
        <v>511</v>
      </c>
      <c r="K174" s="101" t="s">
        <v>272</v>
      </c>
      <c r="L174" s="102" t="s">
        <v>141</v>
      </c>
      <c r="M174" s="102" t="s">
        <v>174</v>
      </c>
      <c r="N174" s="102" t="s">
        <v>141</v>
      </c>
      <c r="O174" s="102" t="s">
        <v>516</v>
      </c>
      <c r="P174" s="39">
        <v>3</v>
      </c>
      <c r="Q174" s="40">
        <f t="shared" si="70"/>
        <v>1.2000000000000002</v>
      </c>
      <c r="R174" s="23">
        <v>4.5</v>
      </c>
      <c r="S174" s="158">
        <f t="shared" si="67"/>
        <v>1.8</v>
      </c>
      <c r="T174" s="24">
        <v>60</v>
      </c>
      <c r="U174" s="52">
        <f t="shared" si="79"/>
        <v>24</v>
      </c>
      <c r="V174" s="103">
        <f t="shared" si="68"/>
        <v>67.5</v>
      </c>
      <c r="W174" s="103">
        <f t="shared" si="69"/>
        <v>27</v>
      </c>
      <c r="X174" s="116">
        <v>146</v>
      </c>
      <c r="Y174" s="160"/>
      <c r="Z174" s="104">
        <f t="shared" si="71"/>
        <v>438</v>
      </c>
      <c r="AA174" s="104">
        <f t="shared" si="72"/>
        <v>175.20000000000002</v>
      </c>
      <c r="AB174" s="104">
        <f t="shared" si="73"/>
        <v>657</v>
      </c>
      <c r="AC174" s="104">
        <f t="shared" si="74"/>
        <v>262.8</v>
      </c>
      <c r="AD174" s="104">
        <f t="shared" si="75"/>
        <v>8760</v>
      </c>
      <c r="AE174" s="104">
        <f t="shared" si="76"/>
        <v>3504</v>
      </c>
      <c r="AF174" s="104">
        <f t="shared" si="77"/>
        <v>9855</v>
      </c>
      <c r="AG174" s="104">
        <f t="shared" si="78"/>
        <v>3942</v>
      </c>
    </row>
    <row r="175" spans="1:33" ht="10" customHeight="1">
      <c r="A175" s="98">
        <v>172</v>
      </c>
      <c r="B175" s="124" t="s">
        <v>178</v>
      </c>
      <c r="C175" s="28" t="s">
        <v>0</v>
      </c>
      <c r="D175" s="28" t="s">
        <v>28</v>
      </c>
      <c r="E175" s="28" t="s">
        <v>43</v>
      </c>
      <c r="F175" s="28" t="s">
        <v>21</v>
      </c>
      <c r="G175" s="199" t="str">
        <f>IF(H175="","",IF(ISNUMBER(SEARCH(" ",H175)),LEFT(H175,1)&amp;MID(H175,SEARCH(" ",H175)+1,1)&amp;IFERROR(MID(H175,SEARCH(" ",H175,SEARCH(" ",H175)+1)+1,1),""),LEFT(H175,3)))&amp;IF(I175="","","-"&amp;IF(ISNUMBER(SEARCH(" ",I175)),LEFT(I175,1)&amp;MID(I175,SEARCH(" ",I175)+1,1)&amp;IFERROR(MID(I175,SEARCH(" ",I175,SEARCH(" ",I175)+1)+1,1),""),LEFT(I175,3)))&amp;IF(D175="","","-"&amp;D175)&amp;"-"&amp;TEXT(COUNTIF($H$4:H175,H175),"000")</f>
        <v>ABA-VI-302-096</v>
      </c>
      <c r="H175" s="121" t="s">
        <v>611</v>
      </c>
      <c r="I175" s="28" t="s">
        <v>662</v>
      </c>
      <c r="J175" s="29" t="s">
        <v>504</v>
      </c>
      <c r="K175" s="30" t="s">
        <v>341</v>
      </c>
      <c r="L175" s="31" t="s">
        <v>143</v>
      </c>
      <c r="M175" s="31" t="s">
        <v>150</v>
      </c>
      <c r="N175" s="31" t="s">
        <v>143</v>
      </c>
      <c r="O175" s="31" t="s">
        <v>593</v>
      </c>
      <c r="P175" s="39">
        <v>600</v>
      </c>
      <c r="Q175" s="40">
        <f t="shared" si="70"/>
        <v>240</v>
      </c>
      <c r="R175" s="23">
        <v>360</v>
      </c>
      <c r="S175" s="158">
        <f t="shared" si="67"/>
        <v>144</v>
      </c>
      <c r="T175" s="24">
        <v>2160</v>
      </c>
      <c r="U175" s="52">
        <f t="shared" si="79"/>
        <v>864</v>
      </c>
      <c r="V175" s="32">
        <f t="shared" si="68"/>
        <v>3120</v>
      </c>
      <c r="W175" s="32">
        <f t="shared" si="69"/>
        <v>1248</v>
      </c>
      <c r="X175" s="110">
        <v>59.8</v>
      </c>
      <c r="Y175" s="160"/>
      <c r="Z175" s="33">
        <f t="shared" si="71"/>
        <v>35880</v>
      </c>
      <c r="AA175" s="33">
        <f t="shared" si="72"/>
        <v>14352</v>
      </c>
      <c r="AB175" s="33">
        <f t="shared" si="73"/>
        <v>21528</v>
      </c>
      <c r="AC175" s="33">
        <f t="shared" si="74"/>
        <v>8611.1999999999989</v>
      </c>
      <c r="AD175" s="33">
        <f t="shared" si="75"/>
        <v>129168</v>
      </c>
      <c r="AE175" s="33">
        <f t="shared" si="76"/>
        <v>51667.199999999997</v>
      </c>
      <c r="AF175" s="33">
        <f t="shared" si="77"/>
        <v>186576</v>
      </c>
      <c r="AG175" s="33">
        <f t="shared" si="78"/>
        <v>74630.399999999994</v>
      </c>
    </row>
    <row r="176" spans="1:33" ht="10" customHeight="1">
      <c r="A176" s="98">
        <v>173</v>
      </c>
      <c r="B176" s="130" t="s">
        <v>178</v>
      </c>
      <c r="C176" s="99" t="s">
        <v>0</v>
      </c>
      <c r="D176" s="99" t="s">
        <v>46</v>
      </c>
      <c r="E176" s="99" t="s">
        <v>47</v>
      </c>
      <c r="F176" s="99" t="s">
        <v>3</v>
      </c>
      <c r="G176" s="199" t="str">
        <f>IF(H176="","",IF(ISNUMBER(SEARCH(" ",H176)),LEFT(H176,1)&amp;MID(H176,SEARCH(" ",H176)+1,1)&amp;IFERROR(MID(H176,SEARCH(" ",H176,SEARCH(" ",H176)+1)+1,1),""),LEFT(H176,3)))&amp;IF(I176="","","-"&amp;IF(ISNUMBER(SEARCH(" ",I176)),LEFT(I176,1)&amp;MID(I176,SEARCH(" ",I176)+1,1)&amp;IFERROR(MID(I176,SEARCH(" ",I176,SEARCH(" ",I176)+1)+1,1),""),LEFT(I176,3)))&amp;IF(D176="","","-"&amp;D176)&amp;"-"&amp;TEXT(COUNTIF($H$4:H176,H176),"000")</f>
        <v>ABA-FI-301-097</v>
      </c>
      <c r="H176" s="99" t="s">
        <v>611</v>
      </c>
      <c r="I176" s="99" t="s">
        <v>627</v>
      </c>
      <c r="J176" s="100" t="s">
        <v>505</v>
      </c>
      <c r="K176" s="101" t="s">
        <v>273</v>
      </c>
      <c r="L176" s="102" t="s">
        <v>141</v>
      </c>
      <c r="M176" s="102" t="s">
        <v>174</v>
      </c>
      <c r="N176" s="102" t="s">
        <v>166</v>
      </c>
      <c r="O176" s="102" t="s">
        <v>516</v>
      </c>
      <c r="P176" s="39">
        <v>0</v>
      </c>
      <c r="Q176" s="40">
        <f t="shared" si="70"/>
        <v>0</v>
      </c>
      <c r="R176" s="23">
        <v>0</v>
      </c>
      <c r="S176" s="158">
        <f t="shared" si="67"/>
        <v>0</v>
      </c>
      <c r="T176" s="24">
        <v>24</v>
      </c>
      <c r="U176" s="52">
        <v>10</v>
      </c>
      <c r="V176" s="103">
        <f t="shared" si="68"/>
        <v>24</v>
      </c>
      <c r="W176" s="103">
        <f t="shared" si="69"/>
        <v>9.6000000000000014</v>
      </c>
      <c r="X176" s="116">
        <v>66</v>
      </c>
      <c r="Y176" s="160"/>
      <c r="Z176" s="104">
        <f t="shared" si="71"/>
        <v>0</v>
      </c>
      <c r="AA176" s="104">
        <f t="shared" si="72"/>
        <v>0</v>
      </c>
      <c r="AB176" s="104">
        <f t="shared" si="73"/>
        <v>0</v>
      </c>
      <c r="AC176" s="104">
        <f t="shared" si="74"/>
        <v>0</v>
      </c>
      <c r="AD176" s="104">
        <f t="shared" si="75"/>
        <v>1584</v>
      </c>
      <c r="AE176" s="104">
        <f t="shared" si="76"/>
        <v>660</v>
      </c>
      <c r="AF176" s="104">
        <f t="shared" si="77"/>
        <v>1584</v>
      </c>
      <c r="AG176" s="104">
        <f t="shared" si="78"/>
        <v>633.60000000000014</v>
      </c>
    </row>
    <row r="177" spans="1:45" ht="10" customHeight="1">
      <c r="A177" s="98">
        <v>174</v>
      </c>
      <c r="B177" s="124" t="s">
        <v>178</v>
      </c>
      <c r="C177" s="28" t="s">
        <v>0</v>
      </c>
      <c r="D177" s="28" t="s">
        <v>28</v>
      </c>
      <c r="E177" s="28" t="s">
        <v>62</v>
      </c>
      <c r="F177" s="28" t="s">
        <v>44</v>
      </c>
      <c r="G177" s="199" t="str">
        <f>IF(H177="","",IF(ISNUMBER(SEARCH(" ",H177)),LEFT(H177,1)&amp;MID(H177,SEARCH(" ",H177)+1,1)&amp;IFERROR(MID(H177,SEARCH(" ",H177,SEARCH(" ",H177)+1)+1,1),""),LEFT(H177,3)))&amp;IF(I177="","","-"&amp;IF(ISNUMBER(SEARCH(" ",I177)),LEFT(I177,1)&amp;MID(I177,SEARCH(" ",I177)+1,1)&amp;IFERROR(MID(I177,SEARCH(" ",I177,SEARCH(" ",I177)+1)+1,1),""),LEFT(I177,3)))&amp;IF(D177="","","-"&amp;D177)&amp;"-"&amp;TEXT(COUNTIF($H$4:H177,H177),"000")</f>
        <v>ABA-VI-302-098</v>
      </c>
      <c r="H177" s="121" t="s">
        <v>611</v>
      </c>
      <c r="I177" s="28" t="s">
        <v>662</v>
      </c>
      <c r="J177" s="29" t="s">
        <v>506</v>
      </c>
      <c r="K177" s="30" t="s">
        <v>274</v>
      </c>
      <c r="L177" s="31" t="s">
        <v>135</v>
      </c>
      <c r="M177" s="31" t="s">
        <v>142</v>
      </c>
      <c r="N177" s="31" t="s">
        <v>143</v>
      </c>
      <c r="O177" s="31" t="s">
        <v>598</v>
      </c>
      <c r="P177" s="39">
        <v>0</v>
      </c>
      <c r="Q177" s="40">
        <f t="shared" si="70"/>
        <v>0</v>
      </c>
      <c r="R177" s="23">
        <v>22.5</v>
      </c>
      <c r="S177" s="158">
        <f t="shared" si="67"/>
        <v>9</v>
      </c>
      <c r="T177" s="24">
        <v>144</v>
      </c>
      <c r="U177" s="52">
        <v>58</v>
      </c>
      <c r="V177" s="32">
        <f t="shared" si="68"/>
        <v>166.5</v>
      </c>
      <c r="W177" s="32">
        <f t="shared" si="69"/>
        <v>66.600000000000009</v>
      </c>
      <c r="X177" s="110">
        <v>39</v>
      </c>
      <c r="Y177" s="160"/>
      <c r="Z177" s="33">
        <f t="shared" si="71"/>
        <v>0</v>
      </c>
      <c r="AA177" s="33">
        <f t="shared" si="72"/>
        <v>0</v>
      </c>
      <c r="AB177" s="33">
        <f t="shared" si="73"/>
        <v>877.5</v>
      </c>
      <c r="AC177" s="33">
        <f t="shared" si="74"/>
        <v>351</v>
      </c>
      <c r="AD177" s="33">
        <f t="shared" si="75"/>
        <v>5616</v>
      </c>
      <c r="AE177" s="33">
        <f t="shared" si="76"/>
        <v>2262</v>
      </c>
      <c r="AF177" s="33">
        <f t="shared" si="77"/>
        <v>6493.5</v>
      </c>
      <c r="AG177" s="33">
        <f t="shared" si="78"/>
        <v>2597.4000000000005</v>
      </c>
    </row>
    <row r="178" spans="1:45" ht="10" customHeight="1">
      <c r="A178" s="98">
        <v>175</v>
      </c>
      <c r="B178" s="130" t="s">
        <v>178</v>
      </c>
      <c r="C178" s="99" t="s">
        <v>0</v>
      </c>
      <c r="D178" s="99" t="s">
        <v>28</v>
      </c>
      <c r="E178" s="99" t="s">
        <v>68</v>
      </c>
      <c r="F178" s="99" t="s">
        <v>21</v>
      </c>
      <c r="G178" s="199" t="str">
        <f>IF(H178="","",IF(ISNUMBER(SEARCH(" ",H178)),LEFT(H178,1)&amp;MID(H178,SEARCH(" ",H178)+1,1)&amp;IFERROR(MID(H178,SEARCH(" ",H178,SEARCH(" ",H178)+1)+1,1),""),LEFT(H178,3)))&amp;IF(I178="","","-"&amp;IF(ISNUMBER(SEARCH(" ",I178)),LEFT(I178,1)&amp;MID(I178,SEARCH(" ",I178)+1,1)&amp;IFERROR(MID(I178,SEARCH(" ",I178,SEARCH(" ",I178)+1)+1,1),""),LEFT(I178,3)))&amp;IF(D178="","","-"&amp;D178)&amp;"-"&amp;TEXT(COUNTIF($H$4:H178,H178),"000")</f>
        <v>ABA-CS-302-099</v>
      </c>
      <c r="H178" s="99" t="s">
        <v>611</v>
      </c>
      <c r="I178" s="99" t="s">
        <v>623</v>
      </c>
      <c r="J178" s="100" t="s">
        <v>512</v>
      </c>
      <c r="K178" s="101" t="s">
        <v>343</v>
      </c>
      <c r="L178" s="102" t="s">
        <v>135</v>
      </c>
      <c r="M178" s="102" t="s">
        <v>180</v>
      </c>
      <c r="N178" s="102" t="s">
        <v>335</v>
      </c>
      <c r="O178" s="102" t="s">
        <v>597</v>
      </c>
      <c r="P178" s="39">
        <v>240</v>
      </c>
      <c r="Q178" s="40">
        <f t="shared" si="70"/>
        <v>96</v>
      </c>
      <c r="R178" s="23">
        <v>48</v>
      </c>
      <c r="S178" s="158">
        <f t="shared" si="67"/>
        <v>19.200000000000003</v>
      </c>
      <c r="T178" s="24">
        <v>0</v>
      </c>
      <c r="U178" s="52">
        <f t="shared" si="79"/>
        <v>0</v>
      </c>
      <c r="V178" s="103">
        <f t="shared" si="68"/>
        <v>288</v>
      </c>
      <c r="W178" s="103">
        <f t="shared" si="69"/>
        <v>115.2</v>
      </c>
      <c r="X178" s="116">
        <v>97</v>
      </c>
      <c r="Y178" s="160"/>
      <c r="Z178" s="104">
        <f t="shared" si="71"/>
        <v>23280</v>
      </c>
      <c r="AA178" s="104">
        <f t="shared" si="72"/>
        <v>9312</v>
      </c>
      <c r="AB178" s="104">
        <f t="shared" si="73"/>
        <v>4656</v>
      </c>
      <c r="AC178" s="104">
        <f t="shared" si="74"/>
        <v>1862.4000000000003</v>
      </c>
      <c r="AD178" s="104">
        <f t="shared" si="75"/>
        <v>0</v>
      </c>
      <c r="AE178" s="104">
        <f t="shared" si="76"/>
        <v>0</v>
      </c>
      <c r="AF178" s="104">
        <f t="shared" si="77"/>
        <v>27936</v>
      </c>
      <c r="AG178" s="104">
        <f t="shared" si="78"/>
        <v>11174.4</v>
      </c>
    </row>
    <row r="179" spans="1:45" ht="10" customHeight="1">
      <c r="A179" s="98">
        <v>176</v>
      </c>
      <c r="B179" s="124" t="s">
        <v>178</v>
      </c>
      <c r="C179" s="28" t="s">
        <v>0</v>
      </c>
      <c r="D179" s="28" t="s">
        <v>28</v>
      </c>
      <c r="E179" s="28" t="s">
        <v>69</v>
      </c>
      <c r="F179" s="28" t="s">
        <v>21</v>
      </c>
      <c r="G179" s="199" t="str">
        <f>IF(H179="","",IF(ISNUMBER(SEARCH(" ",H179)),LEFT(H179,1)&amp;MID(H179,SEARCH(" ",H179)+1,1)&amp;IFERROR(MID(H179,SEARCH(" ",H179,SEARCH(" ",H179)+1)+1,1),""),LEFT(H179,3)))&amp;IF(I179="","","-"&amp;IF(ISNUMBER(SEARCH(" ",I179)),LEFT(I179,1)&amp;MID(I179,SEARCH(" ",I179)+1,1)&amp;IFERROR(MID(I179,SEARCH(" ",I179,SEARCH(" ",I179)+1)+1,1),""),LEFT(I179,3)))&amp;IF(D179="","","-"&amp;D179)&amp;"-"&amp;TEXT(COUNTIF($H$4:H179,H179),"000")</f>
        <v>ABA-CS-302-100</v>
      </c>
      <c r="H179" s="121" t="s">
        <v>611</v>
      </c>
      <c r="I179" s="28" t="s">
        <v>623</v>
      </c>
      <c r="J179" s="29" t="s">
        <v>507</v>
      </c>
      <c r="K179" s="30" t="s">
        <v>311</v>
      </c>
      <c r="L179" s="31" t="s">
        <v>135</v>
      </c>
      <c r="M179" s="31" t="s">
        <v>174</v>
      </c>
      <c r="N179" s="31" t="s">
        <v>335</v>
      </c>
      <c r="O179" s="31" t="s">
        <v>597</v>
      </c>
      <c r="P179" s="39">
        <v>240</v>
      </c>
      <c r="Q179" s="40">
        <f t="shared" si="70"/>
        <v>96</v>
      </c>
      <c r="R179" s="23">
        <v>48</v>
      </c>
      <c r="S179" s="158">
        <f t="shared" si="67"/>
        <v>19.200000000000003</v>
      </c>
      <c r="T179" s="24">
        <v>0</v>
      </c>
      <c r="U179" s="52">
        <f t="shared" si="79"/>
        <v>0</v>
      </c>
      <c r="V179" s="32">
        <f t="shared" si="68"/>
        <v>288</v>
      </c>
      <c r="W179" s="32">
        <f t="shared" si="69"/>
        <v>115.2</v>
      </c>
      <c r="X179" s="110">
        <v>108</v>
      </c>
      <c r="Y179" s="160"/>
      <c r="Z179" s="33">
        <f t="shared" si="71"/>
        <v>25920</v>
      </c>
      <c r="AA179" s="33">
        <f t="shared" si="72"/>
        <v>10368</v>
      </c>
      <c r="AB179" s="33">
        <f t="shared" si="73"/>
        <v>5184</v>
      </c>
      <c r="AC179" s="33">
        <f t="shared" si="74"/>
        <v>2073.6000000000004</v>
      </c>
      <c r="AD179" s="33">
        <f t="shared" si="75"/>
        <v>0</v>
      </c>
      <c r="AE179" s="33">
        <f t="shared" si="76"/>
        <v>0</v>
      </c>
      <c r="AF179" s="33">
        <f t="shared" si="77"/>
        <v>31104</v>
      </c>
      <c r="AG179" s="33">
        <f t="shared" si="78"/>
        <v>12441.6</v>
      </c>
    </row>
    <row r="180" spans="1:45" ht="10" customHeight="1">
      <c r="A180" s="98">
        <v>177</v>
      </c>
      <c r="B180" s="130" t="s">
        <v>178</v>
      </c>
      <c r="C180" s="99" t="s">
        <v>0</v>
      </c>
      <c r="D180" s="99" t="s">
        <v>77</v>
      </c>
      <c r="E180" s="99" t="s">
        <v>24</v>
      </c>
      <c r="F180" s="99" t="s">
        <v>3</v>
      </c>
      <c r="G180" s="199" t="str">
        <f>IF(H180="","",IF(ISNUMBER(SEARCH(" ",H180)),LEFT(H180,1)&amp;MID(H180,SEARCH(" ",H180)+1,1)&amp;IFERROR(MID(H180,SEARCH(" ",H180,SEARCH(" ",H180)+1)+1,1),""),LEFT(H180,3)))&amp;IF(I180="","","-"&amp;IF(ISNUMBER(SEARCH(" ",I180)),LEFT(I180,1)&amp;MID(I180,SEARCH(" ",I180)+1,1)&amp;IFERROR(MID(I180,SEARCH(" ",I180,SEARCH(" ",I180)+1)+1,1),""),LEFT(I180,3)))&amp;IF(D180="","","-"&amp;D180)&amp;"-"&amp;TEXT(COUNTIF($H$4:H180,H180),"000")</f>
        <v>ABA-LI-505-101</v>
      </c>
      <c r="H180" s="99" t="s">
        <v>611</v>
      </c>
      <c r="I180" s="99" t="s">
        <v>666</v>
      </c>
      <c r="J180" s="100" t="s">
        <v>665</v>
      </c>
      <c r="K180" s="101" t="s">
        <v>275</v>
      </c>
      <c r="L180" s="102" t="s">
        <v>135</v>
      </c>
      <c r="M180" s="102" t="s">
        <v>142</v>
      </c>
      <c r="N180" s="102" t="s">
        <v>334</v>
      </c>
      <c r="O180" s="102" t="s">
        <v>596</v>
      </c>
      <c r="P180" s="39">
        <v>600</v>
      </c>
      <c r="Q180" s="40">
        <f t="shared" si="70"/>
        <v>240</v>
      </c>
      <c r="R180" s="23">
        <v>0</v>
      </c>
      <c r="S180" s="158">
        <f t="shared" si="67"/>
        <v>0</v>
      </c>
      <c r="T180" s="24">
        <v>0</v>
      </c>
      <c r="U180" s="52">
        <f t="shared" si="79"/>
        <v>0</v>
      </c>
      <c r="V180" s="103">
        <f t="shared" si="68"/>
        <v>600</v>
      </c>
      <c r="W180" s="103">
        <f t="shared" si="69"/>
        <v>240</v>
      </c>
      <c r="X180" s="116">
        <v>89</v>
      </c>
      <c r="Y180" s="160"/>
      <c r="Z180" s="104">
        <f t="shared" si="71"/>
        <v>53400</v>
      </c>
      <c r="AA180" s="104">
        <f t="shared" si="72"/>
        <v>21360</v>
      </c>
      <c r="AB180" s="104">
        <f t="shared" si="73"/>
        <v>0</v>
      </c>
      <c r="AC180" s="104">
        <f t="shared" si="74"/>
        <v>0</v>
      </c>
      <c r="AD180" s="104">
        <f t="shared" si="75"/>
        <v>0</v>
      </c>
      <c r="AE180" s="104">
        <f t="shared" si="76"/>
        <v>0</v>
      </c>
      <c r="AF180" s="104">
        <f t="shared" si="77"/>
        <v>53400</v>
      </c>
      <c r="AG180" s="104">
        <f t="shared" si="78"/>
        <v>21360</v>
      </c>
    </row>
    <row r="181" spans="1:45" ht="10" customHeight="1">
      <c r="A181" s="98">
        <v>178</v>
      </c>
      <c r="B181" s="124" t="s">
        <v>178</v>
      </c>
      <c r="C181" s="28" t="s">
        <v>0</v>
      </c>
      <c r="D181" s="28" t="s">
        <v>77</v>
      </c>
      <c r="E181" s="28" t="s">
        <v>27</v>
      </c>
      <c r="F181" s="28" t="s">
        <v>3</v>
      </c>
      <c r="G181" s="199" t="str">
        <f>IF(H181="","",IF(ISNUMBER(SEARCH(" ",H181)),LEFT(H181,1)&amp;MID(H181,SEARCH(" ",H181)+1,1)&amp;IFERROR(MID(H181,SEARCH(" ",H181,SEARCH(" ",H181)+1)+1,1),""),LEFT(H181,3)))&amp;IF(I181="","","-"&amp;IF(ISNUMBER(SEARCH(" ",I181)),LEFT(I181,1)&amp;MID(I181,SEARCH(" ",I181)+1,1)&amp;IFERROR(MID(I181,SEARCH(" ",I181,SEARCH(" ",I181)+1)+1,1),""),LEFT(I181,3)))&amp;IF(D181="","","-"&amp;D181)&amp;"-"&amp;TEXT(COUNTIF($H$4:H181,H181),"000")</f>
        <v>ABA-LI-505-102</v>
      </c>
      <c r="H181" s="121" t="s">
        <v>611</v>
      </c>
      <c r="I181" s="28" t="s">
        <v>666</v>
      </c>
      <c r="J181" s="29" t="s">
        <v>664</v>
      </c>
      <c r="K181" s="30" t="s">
        <v>276</v>
      </c>
      <c r="L181" s="31" t="s">
        <v>135</v>
      </c>
      <c r="M181" s="31" t="s">
        <v>139</v>
      </c>
      <c r="N181" s="31" t="s">
        <v>166</v>
      </c>
      <c r="O181" s="31" t="s">
        <v>595</v>
      </c>
      <c r="P181" s="39">
        <v>600</v>
      </c>
      <c r="Q181" s="40">
        <f t="shared" si="70"/>
        <v>240</v>
      </c>
      <c r="R181" s="23">
        <v>60</v>
      </c>
      <c r="S181" s="158">
        <f t="shared" si="67"/>
        <v>24</v>
      </c>
      <c r="T181" s="24">
        <v>0</v>
      </c>
      <c r="U181" s="52">
        <f t="shared" si="79"/>
        <v>0</v>
      </c>
      <c r="V181" s="32">
        <f t="shared" si="68"/>
        <v>660</v>
      </c>
      <c r="W181" s="32">
        <f t="shared" si="69"/>
        <v>264</v>
      </c>
      <c r="X181" s="110">
        <v>21.8</v>
      </c>
      <c r="Y181" s="160"/>
      <c r="Z181" s="33">
        <f t="shared" si="71"/>
        <v>13080</v>
      </c>
      <c r="AA181" s="33">
        <f t="shared" si="72"/>
        <v>5232</v>
      </c>
      <c r="AB181" s="33">
        <f t="shared" si="73"/>
        <v>1308</v>
      </c>
      <c r="AC181" s="33">
        <f t="shared" si="74"/>
        <v>523.20000000000005</v>
      </c>
      <c r="AD181" s="33">
        <f t="shared" si="75"/>
        <v>0</v>
      </c>
      <c r="AE181" s="33">
        <f t="shared" si="76"/>
        <v>0</v>
      </c>
      <c r="AF181" s="33">
        <f t="shared" si="77"/>
        <v>14388</v>
      </c>
      <c r="AG181" s="33">
        <f t="shared" si="78"/>
        <v>5755.2</v>
      </c>
    </row>
    <row r="182" spans="1:45" ht="10" customHeight="1">
      <c r="A182" s="98">
        <v>179</v>
      </c>
      <c r="B182" s="130" t="s">
        <v>178</v>
      </c>
      <c r="C182" s="99" t="s">
        <v>0</v>
      </c>
      <c r="D182" s="99" t="s">
        <v>25</v>
      </c>
      <c r="E182" s="99" t="s">
        <v>24</v>
      </c>
      <c r="F182" s="99" t="s">
        <v>3</v>
      </c>
      <c r="G182" s="199" t="str">
        <f>IF(H182="","",IF(ISNUMBER(SEARCH(" ",H182)),LEFT(H182,1)&amp;MID(H182,SEARCH(" ",H182)+1,1)&amp;IFERROR(MID(H182,SEARCH(" ",H182,SEARCH(" ",H182)+1)+1,1),""),LEFT(H182,3)))&amp;IF(I182="","","-"&amp;IF(ISNUMBER(SEARCH(" ",I182)),LEFT(I182,1)&amp;MID(I182,SEARCH(" ",I182)+1,1)&amp;IFERROR(MID(I182,SEARCH(" ",I182,SEARCH(" ",I182)+1)+1,1),""),LEFT(I182,3)))&amp;IF(D182="","","-"&amp;D182)&amp;"-"&amp;TEXT(COUNTIF($H$4:H182,H182),"000")</f>
        <v>ABA-FI-806-103</v>
      </c>
      <c r="H182" s="99" t="s">
        <v>611</v>
      </c>
      <c r="I182" s="99" t="s">
        <v>627</v>
      </c>
      <c r="J182" s="100" t="s">
        <v>508</v>
      </c>
      <c r="K182" s="101" t="s">
        <v>278</v>
      </c>
      <c r="L182" s="102" t="s">
        <v>166</v>
      </c>
      <c r="M182" s="102" t="s">
        <v>142</v>
      </c>
      <c r="N182" s="102" t="s">
        <v>166</v>
      </c>
      <c r="O182" s="102" t="s">
        <v>516</v>
      </c>
      <c r="P182" s="39">
        <v>120</v>
      </c>
      <c r="Q182" s="40">
        <f t="shared" si="70"/>
        <v>48</v>
      </c>
      <c r="R182" s="23">
        <v>0</v>
      </c>
      <c r="S182" s="158">
        <f t="shared" si="67"/>
        <v>0</v>
      </c>
      <c r="T182" s="24">
        <v>0</v>
      </c>
      <c r="U182" s="52">
        <f t="shared" si="79"/>
        <v>0</v>
      </c>
      <c r="V182" s="103">
        <f t="shared" si="68"/>
        <v>120</v>
      </c>
      <c r="W182" s="103">
        <f t="shared" si="69"/>
        <v>48</v>
      </c>
      <c r="X182" s="116">
        <v>68.5</v>
      </c>
      <c r="Y182" s="160"/>
      <c r="Z182" s="104">
        <f t="shared" si="71"/>
        <v>8220</v>
      </c>
      <c r="AA182" s="104">
        <f t="shared" si="72"/>
        <v>3288</v>
      </c>
      <c r="AB182" s="104">
        <f t="shared" si="73"/>
        <v>0</v>
      </c>
      <c r="AC182" s="104">
        <f t="shared" si="74"/>
        <v>0</v>
      </c>
      <c r="AD182" s="104">
        <f t="shared" si="75"/>
        <v>0</v>
      </c>
      <c r="AE182" s="104">
        <f t="shared" si="76"/>
        <v>0</v>
      </c>
      <c r="AF182" s="104">
        <f t="shared" si="77"/>
        <v>8220</v>
      </c>
      <c r="AG182" s="104">
        <f t="shared" si="78"/>
        <v>3288</v>
      </c>
    </row>
    <row r="183" spans="1:45" ht="10" customHeight="1">
      <c r="A183" s="98">
        <v>180</v>
      </c>
      <c r="B183" s="124" t="s">
        <v>178</v>
      </c>
      <c r="C183" s="28" t="s">
        <v>0</v>
      </c>
      <c r="D183" s="28" t="s">
        <v>11</v>
      </c>
      <c r="E183" s="28" t="s">
        <v>7</v>
      </c>
      <c r="F183" s="28" t="s">
        <v>3</v>
      </c>
      <c r="G183" s="199" t="str">
        <f>IF(H183="","",IF(ISNUMBER(SEARCH(" ",H183)),LEFT(H183,1)&amp;MID(H183,SEARCH(" ",H183)+1,1)&amp;IFERROR(MID(H183,SEARCH(" ",H183,SEARCH(" ",H183)+1)+1,1),""),LEFT(H183,3)))&amp;IF(I183="","","-"&amp;IF(ISNUMBER(SEARCH(" ",I183)),LEFT(I183,1)&amp;MID(I183,SEARCH(" ",I183)+1,1)&amp;IFERROR(MID(I183,SEARCH(" ",I183,SEARCH(" ",I183)+1)+1,1),""),LEFT(I183,3)))&amp;IF(D183="","","-"&amp;D183)&amp;"-"&amp;TEXT(COUNTIF($H$4:H183,H183),"000")</f>
        <v>ABA-HUE-109-104</v>
      </c>
      <c r="H183" s="121" t="s">
        <v>611</v>
      </c>
      <c r="I183" s="28" t="s">
        <v>631</v>
      </c>
      <c r="J183" s="132" t="s">
        <v>509</v>
      </c>
      <c r="K183" s="30" t="s">
        <v>528</v>
      </c>
      <c r="L183" s="31" t="s">
        <v>135</v>
      </c>
      <c r="M183" s="31" t="s">
        <v>174</v>
      </c>
      <c r="N183" s="31" t="s">
        <v>145</v>
      </c>
      <c r="O183" s="31" t="s">
        <v>594</v>
      </c>
      <c r="P183" s="21">
        <v>12000</v>
      </c>
      <c r="Q183" s="40">
        <f t="shared" si="70"/>
        <v>4800</v>
      </c>
      <c r="R183" s="23">
        <v>2400</v>
      </c>
      <c r="S183" s="158">
        <f t="shared" si="67"/>
        <v>960</v>
      </c>
      <c r="T183" s="24">
        <v>2160</v>
      </c>
      <c r="U183" s="52">
        <f t="shared" si="79"/>
        <v>864</v>
      </c>
      <c r="V183" s="32">
        <f t="shared" si="68"/>
        <v>16560</v>
      </c>
      <c r="W183" s="32">
        <f t="shared" si="69"/>
        <v>6624</v>
      </c>
      <c r="X183" s="110">
        <v>70</v>
      </c>
      <c r="Y183" s="160"/>
      <c r="Z183" s="33">
        <f t="shared" si="71"/>
        <v>840000</v>
      </c>
      <c r="AA183" s="33">
        <f t="shared" si="72"/>
        <v>336000</v>
      </c>
      <c r="AB183" s="33">
        <f t="shared" si="73"/>
        <v>168000</v>
      </c>
      <c r="AC183" s="33">
        <f t="shared" si="74"/>
        <v>67200</v>
      </c>
      <c r="AD183" s="33">
        <f t="shared" si="75"/>
        <v>151200</v>
      </c>
      <c r="AE183" s="33">
        <f t="shared" si="76"/>
        <v>60480</v>
      </c>
      <c r="AF183" s="33">
        <f t="shared" si="77"/>
        <v>1159200</v>
      </c>
      <c r="AG183" s="33">
        <f t="shared" si="78"/>
        <v>463680</v>
      </c>
    </row>
    <row r="184" spans="1:45" ht="10" customHeight="1" thickBot="1">
      <c r="A184" s="133">
        <v>181</v>
      </c>
      <c r="B184" s="134" t="s">
        <v>178</v>
      </c>
      <c r="C184" s="135" t="s">
        <v>0</v>
      </c>
      <c r="D184" s="135" t="s">
        <v>46</v>
      </c>
      <c r="E184" s="135" t="s">
        <v>82</v>
      </c>
      <c r="F184" s="135" t="s">
        <v>3</v>
      </c>
      <c r="G184" s="200" t="str">
        <f>IF(H184="","",IF(ISNUMBER(SEARCH(" ",H184)),LEFT(H184,1)&amp;MID(H184,SEARCH(" ",H184)+1,1)&amp;IFERROR(MID(H184,SEARCH(" ",H184,SEARCH(" ",H184)+1)+1,1),""),LEFT(H184,3)))&amp;IF(I184="","","-"&amp;IF(ISNUMBER(SEARCH(" ",I184)),LEFT(I184,1)&amp;MID(I184,SEARCH(" ",I184)+1,1)&amp;IFERROR(MID(I184,SEARCH(" ",I184,SEARCH(" ",I184)+1)+1,1),""),LEFT(I184,3)))&amp;IF(D184="","","-"&amp;D184)&amp;"-"&amp;TEXT(COUNTIF($H$4:H184,H184),"000")</f>
        <v>ABA-FI-301-105</v>
      </c>
      <c r="H184" s="135" t="s">
        <v>611</v>
      </c>
      <c r="I184" s="135" t="s">
        <v>627</v>
      </c>
      <c r="J184" s="136" t="s">
        <v>510</v>
      </c>
      <c r="K184" s="137" t="s">
        <v>277</v>
      </c>
      <c r="L184" s="138" t="s">
        <v>141</v>
      </c>
      <c r="M184" s="138" t="s">
        <v>142</v>
      </c>
      <c r="N184" s="138" t="s">
        <v>166</v>
      </c>
      <c r="O184" s="138" t="s">
        <v>559</v>
      </c>
      <c r="P184" s="139">
        <v>7.5</v>
      </c>
      <c r="Q184" s="140">
        <f t="shared" si="70"/>
        <v>3</v>
      </c>
      <c r="R184" s="141">
        <v>3</v>
      </c>
      <c r="S184" s="159">
        <f t="shared" si="67"/>
        <v>1.2000000000000002</v>
      </c>
      <c r="T184" s="142">
        <v>6</v>
      </c>
      <c r="U184" s="143">
        <f t="shared" si="79"/>
        <v>2.4000000000000004</v>
      </c>
      <c r="V184" s="144">
        <f t="shared" si="68"/>
        <v>16.5</v>
      </c>
      <c r="W184" s="144">
        <f t="shared" si="69"/>
        <v>6.6000000000000005</v>
      </c>
      <c r="X184" s="145">
        <v>74</v>
      </c>
      <c r="Y184" s="160"/>
      <c r="Z184" s="146">
        <f t="shared" si="71"/>
        <v>555</v>
      </c>
      <c r="AA184" s="146">
        <f t="shared" si="72"/>
        <v>222</v>
      </c>
      <c r="AB184" s="146">
        <f t="shared" si="73"/>
        <v>222</v>
      </c>
      <c r="AC184" s="146">
        <f t="shared" si="74"/>
        <v>88.800000000000011</v>
      </c>
      <c r="AD184" s="146">
        <f t="shared" si="75"/>
        <v>444</v>
      </c>
      <c r="AE184" s="146">
        <f t="shared" si="76"/>
        <v>177.60000000000002</v>
      </c>
      <c r="AF184" s="146">
        <f t="shared" si="77"/>
        <v>1221</v>
      </c>
      <c r="AG184" s="146">
        <f t="shared" si="78"/>
        <v>488.40000000000003</v>
      </c>
    </row>
    <row r="185" spans="1:45" s="11" customFormat="1" ht="26" customHeight="1" thickBot="1">
      <c r="A185" s="147"/>
      <c r="B185" s="148"/>
      <c r="C185" s="149"/>
      <c r="D185" s="149"/>
      <c r="E185" s="149"/>
      <c r="F185" s="149"/>
      <c r="G185" s="149"/>
      <c r="H185" s="149"/>
      <c r="I185" s="149"/>
      <c r="J185" s="150"/>
      <c r="K185" s="150"/>
      <c r="L185" s="151"/>
      <c r="M185" s="151"/>
      <c r="N185" s="151"/>
      <c r="O185" s="153"/>
      <c r="P185" s="151"/>
      <c r="Q185" s="151"/>
      <c r="R185" s="151"/>
      <c r="S185" s="151"/>
      <c r="T185" s="151"/>
      <c r="U185" s="151"/>
      <c r="V185" s="151"/>
      <c r="W185" s="151"/>
      <c r="X185" s="152"/>
      <c r="Y185" s="161"/>
      <c r="Z185" s="154">
        <f>SUM(Z4:Z184)</f>
        <v>10996453.050000001</v>
      </c>
      <c r="AA185" s="154">
        <f t="shared" ref="AA185:AG185" si="80">SUM(AA4:AA184)</f>
        <v>4398581.2199999988</v>
      </c>
      <c r="AB185" s="154">
        <f t="shared" si="80"/>
        <v>2796452.4000000004</v>
      </c>
      <c r="AC185" s="154">
        <f t="shared" si="80"/>
        <v>1118580.9599999997</v>
      </c>
      <c r="AD185" s="154">
        <f t="shared" si="80"/>
        <v>3633726.0500000003</v>
      </c>
      <c r="AE185" s="154">
        <f t="shared" si="80"/>
        <v>1453898.98</v>
      </c>
      <c r="AF185" s="155">
        <f t="shared" si="80"/>
        <v>17426605.25</v>
      </c>
      <c r="AG185" s="156">
        <f t="shared" si="80"/>
        <v>6970610.6000000052</v>
      </c>
    </row>
    <row r="186" spans="1:45" s="10" customFormat="1" ht="10" customHeight="1">
      <c r="A186" s="1"/>
      <c r="B186" s="131"/>
      <c r="C186" s="14"/>
      <c r="D186" s="14"/>
      <c r="E186" s="14"/>
      <c r="F186" s="14"/>
      <c r="G186" s="14"/>
      <c r="H186" s="14"/>
      <c r="I186" s="14"/>
      <c r="J186" s="15"/>
      <c r="K186" s="15"/>
      <c r="L186" s="1"/>
      <c r="M186" s="1"/>
      <c r="N186" s="1"/>
      <c r="O186" s="1"/>
      <c r="P186" s="1"/>
      <c r="Q186" s="1"/>
      <c r="R186" s="1"/>
      <c r="S186" s="1"/>
      <c r="T186" s="1"/>
      <c r="U186" s="1"/>
      <c r="V186" s="1"/>
      <c r="W186" s="1"/>
      <c r="X186" s="117"/>
      <c r="AH186" s="1"/>
      <c r="AI186" s="1"/>
      <c r="AJ186" s="1"/>
      <c r="AK186" s="1"/>
      <c r="AL186" s="1"/>
      <c r="AM186" s="1"/>
      <c r="AN186" s="1"/>
      <c r="AO186" s="1"/>
      <c r="AP186" s="1"/>
      <c r="AQ186" s="1"/>
      <c r="AR186" s="1"/>
      <c r="AS186" s="1"/>
    </row>
    <row r="187" spans="1:45" s="10" customFormat="1" ht="10" customHeight="1">
      <c r="A187" s="1"/>
      <c r="B187" s="131"/>
      <c r="C187" s="14"/>
      <c r="D187" s="14"/>
      <c r="E187" s="14"/>
      <c r="F187" s="14"/>
      <c r="G187" s="14"/>
      <c r="H187" s="14"/>
      <c r="I187" s="14"/>
      <c r="J187" s="15"/>
      <c r="K187" s="15"/>
      <c r="L187" s="1"/>
      <c r="M187" s="1"/>
      <c r="N187" s="1"/>
      <c r="O187" s="1"/>
      <c r="P187" s="1"/>
      <c r="Q187" s="1"/>
      <c r="R187" s="1"/>
      <c r="S187" s="1"/>
      <c r="T187" s="1"/>
      <c r="U187" s="1"/>
      <c r="V187" s="1"/>
      <c r="W187" s="1"/>
      <c r="X187" s="117"/>
      <c r="AH187" s="1"/>
      <c r="AI187" s="1"/>
      <c r="AJ187" s="1"/>
      <c r="AK187" s="1"/>
      <c r="AL187" s="1"/>
      <c r="AM187" s="1"/>
      <c r="AN187" s="1"/>
      <c r="AO187" s="1"/>
      <c r="AP187" s="1"/>
      <c r="AQ187" s="1"/>
      <c r="AR187" s="1"/>
      <c r="AS187" s="1"/>
    </row>
    <row r="188" spans="1:45" s="10" customFormat="1" ht="10" customHeight="1">
      <c r="A188" s="1"/>
      <c r="B188" s="131"/>
      <c r="C188" s="14"/>
      <c r="D188" s="14"/>
      <c r="E188" s="14"/>
      <c r="F188" s="14"/>
      <c r="G188" s="14"/>
      <c r="H188" s="14"/>
      <c r="I188" s="14"/>
      <c r="J188" s="15"/>
      <c r="K188" s="15"/>
      <c r="L188" s="1"/>
      <c r="M188" s="1"/>
      <c r="N188" s="1"/>
      <c r="O188" s="1"/>
      <c r="P188" s="1"/>
      <c r="Q188" s="1"/>
      <c r="R188" s="1"/>
      <c r="S188" s="1"/>
      <c r="T188" s="1"/>
      <c r="U188" s="1"/>
      <c r="V188" s="1"/>
      <c r="W188" s="1"/>
      <c r="X188" s="117"/>
      <c r="AH188" s="1"/>
      <c r="AI188" s="1"/>
      <c r="AJ188" s="1"/>
      <c r="AK188" s="1"/>
      <c r="AL188" s="1"/>
      <c r="AM188" s="1"/>
      <c r="AN188" s="1"/>
      <c r="AO188" s="1"/>
      <c r="AP188" s="1"/>
      <c r="AQ188" s="1"/>
      <c r="AR188" s="1"/>
      <c r="AS188" s="1"/>
    </row>
    <row r="189" spans="1:45" s="10" customFormat="1" ht="10" customHeight="1">
      <c r="A189" s="1"/>
      <c r="B189" s="131"/>
      <c r="C189" s="14"/>
      <c r="D189" s="14"/>
      <c r="E189" s="14"/>
      <c r="F189" s="14"/>
      <c r="G189" s="14"/>
      <c r="H189" s="14"/>
      <c r="I189" s="14"/>
      <c r="J189" s="15"/>
      <c r="K189" s="15"/>
      <c r="L189" s="1"/>
      <c r="M189" s="1"/>
      <c r="N189" s="1"/>
      <c r="O189" s="1"/>
      <c r="P189" s="1"/>
      <c r="Q189" s="1"/>
      <c r="R189" s="1"/>
      <c r="S189" s="1"/>
      <c r="T189" s="1"/>
      <c r="U189" s="1"/>
      <c r="V189" s="1"/>
      <c r="W189" s="1"/>
      <c r="X189" s="117"/>
      <c r="AH189" s="1"/>
      <c r="AI189" s="1"/>
      <c r="AJ189" s="1"/>
      <c r="AK189" s="1"/>
      <c r="AL189" s="1"/>
      <c r="AM189" s="1"/>
      <c r="AN189" s="1"/>
      <c r="AO189" s="1"/>
      <c r="AP189" s="1"/>
      <c r="AQ189" s="1"/>
      <c r="AR189" s="1"/>
      <c r="AS189" s="1"/>
    </row>
    <row r="190" spans="1:45" s="10" customFormat="1" ht="10" customHeight="1">
      <c r="A190" s="1"/>
      <c r="B190" s="131"/>
      <c r="C190" s="14"/>
      <c r="D190" s="14"/>
      <c r="E190" s="14"/>
      <c r="F190" s="14"/>
      <c r="G190" s="14"/>
      <c r="H190" s="14"/>
      <c r="I190" s="14"/>
      <c r="J190" s="15"/>
      <c r="K190" s="15"/>
      <c r="L190" s="1"/>
      <c r="M190" s="1"/>
      <c r="N190" s="1"/>
      <c r="O190" s="1"/>
      <c r="P190" s="1"/>
      <c r="Q190" s="1"/>
      <c r="R190" s="1"/>
      <c r="S190" s="1"/>
      <c r="T190" s="1"/>
      <c r="U190" s="1"/>
      <c r="V190" s="1"/>
      <c r="W190" s="1"/>
      <c r="X190" s="117"/>
      <c r="AH190" s="1"/>
      <c r="AI190" s="1"/>
      <c r="AJ190" s="1"/>
      <c r="AK190" s="1"/>
      <c r="AL190" s="1"/>
      <c r="AM190" s="1"/>
      <c r="AN190" s="1"/>
      <c r="AO190" s="1"/>
      <c r="AP190" s="1"/>
      <c r="AQ190" s="1"/>
      <c r="AR190" s="1"/>
      <c r="AS190" s="1"/>
    </row>
    <row r="191" spans="1:45" s="10" customFormat="1" ht="10" customHeight="1">
      <c r="A191" s="1"/>
      <c r="B191" s="131"/>
      <c r="C191" s="14"/>
      <c r="D191" s="14"/>
      <c r="E191" s="14"/>
      <c r="F191" s="14"/>
      <c r="G191" s="14"/>
      <c r="H191" s="14"/>
      <c r="I191" s="14"/>
      <c r="J191" s="15"/>
      <c r="K191" s="15"/>
      <c r="L191" s="1"/>
      <c r="M191" s="1"/>
      <c r="N191" s="1"/>
      <c r="O191" s="1"/>
      <c r="P191" s="1"/>
      <c r="Q191" s="1"/>
      <c r="R191" s="1"/>
      <c r="S191" s="1"/>
      <c r="T191" s="1"/>
      <c r="U191" s="1"/>
      <c r="V191" s="1"/>
      <c r="W191" s="1"/>
      <c r="X191" s="117"/>
      <c r="AH191" s="1"/>
      <c r="AI191" s="1"/>
      <c r="AJ191" s="1"/>
      <c r="AK191" s="1"/>
      <c r="AL191" s="1"/>
      <c r="AM191" s="1"/>
      <c r="AN191" s="1"/>
      <c r="AO191" s="1"/>
      <c r="AP191" s="1"/>
      <c r="AQ191" s="1"/>
      <c r="AR191" s="1"/>
      <c r="AS191" s="1"/>
    </row>
    <row r="192" spans="1:45" s="10" customFormat="1" ht="10" customHeight="1">
      <c r="A192" s="1"/>
      <c r="B192" s="131"/>
      <c r="C192" s="14"/>
      <c r="D192" s="14"/>
      <c r="E192" s="14"/>
      <c r="F192" s="14"/>
      <c r="G192" s="14"/>
      <c r="H192" s="14"/>
      <c r="I192" s="14"/>
      <c r="J192" s="15"/>
      <c r="K192" s="15"/>
      <c r="L192" s="1"/>
      <c r="M192" s="1"/>
      <c r="N192" s="1"/>
      <c r="O192" s="1"/>
      <c r="P192" s="1"/>
      <c r="Q192" s="1"/>
      <c r="R192" s="1"/>
      <c r="S192" s="1"/>
      <c r="T192" s="1"/>
      <c r="U192" s="1"/>
      <c r="V192" s="1"/>
      <c r="W192" s="1"/>
      <c r="X192" s="117"/>
      <c r="AH192" s="1"/>
      <c r="AI192" s="1"/>
      <c r="AJ192" s="1"/>
      <c r="AK192" s="1"/>
      <c r="AL192" s="1"/>
      <c r="AM192" s="1"/>
      <c r="AN192" s="1"/>
      <c r="AO192" s="1"/>
      <c r="AP192" s="1"/>
      <c r="AQ192" s="1"/>
      <c r="AR192" s="1"/>
      <c r="AS192" s="1"/>
    </row>
    <row r="193" spans="1:45" s="10" customFormat="1" ht="10" customHeight="1">
      <c r="A193" s="1"/>
      <c r="B193" s="131"/>
      <c r="C193" s="14"/>
      <c r="D193" s="14"/>
      <c r="E193" s="14"/>
      <c r="F193" s="14"/>
      <c r="G193" s="14"/>
      <c r="H193" s="14"/>
      <c r="I193" s="14"/>
      <c r="J193" s="15"/>
      <c r="K193" s="15"/>
      <c r="L193" s="1"/>
      <c r="M193" s="1"/>
      <c r="N193" s="1"/>
      <c r="O193" s="1"/>
      <c r="P193" s="1"/>
      <c r="Q193" s="1"/>
      <c r="R193" s="1"/>
      <c r="S193" s="1"/>
      <c r="T193" s="1"/>
      <c r="U193" s="1"/>
      <c r="V193" s="1"/>
      <c r="W193" s="1"/>
      <c r="X193" s="117"/>
      <c r="AH193" s="1"/>
      <c r="AI193" s="1"/>
      <c r="AJ193" s="1"/>
      <c r="AK193" s="1"/>
      <c r="AL193" s="1"/>
      <c r="AM193" s="1"/>
      <c r="AN193" s="1"/>
      <c r="AO193" s="1"/>
      <c r="AP193" s="1"/>
      <c r="AQ193" s="1"/>
      <c r="AR193" s="1"/>
      <c r="AS193" s="1"/>
    </row>
    <row r="194" spans="1:45" s="10" customFormat="1" ht="10" customHeight="1">
      <c r="A194" s="1"/>
      <c r="B194" s="131"/>
      <c r="C194" s="14"/>
      <c r="D194" s="14"/>
      <c r="E194" s="14"/>
      <c r="F194" s="14"/>
      <c r="G194" s="14"/>
      <c r="H194" s="14"/>
      <c r="I194" s="14"/>
      <c r="J194" s="15"/>
      <c r="K194" s="15"/>
      <c r="L194" s="1"/>
      <c r="M194" s="1"/>
      <c r="N194" s="1"/>
      <c r="O194" s="1"/>
      <c r="P194" s="1"/>
      <c r="Q194" s="1"/>
      <c r="R194" s="1"/>
      <c r="S194" s="1"/>
      <c r="T194" s="1"/>
      <c r="U194" s="1"/>
      <c r="V194" s="1"/>
      <c r="W194" s="1"/>
      <c r="X194" s="117"/>
      <c r="AH194" s="1"/>
      <c r="AI194" s="1"/>
      <c r="AJ194" s="1"/>
      <c r="AK194" s="1"/>
      <c r="AL194" s="1"/>
      <c r="AM194" s="1"/>
      <c r="AN194" s="1"/>
      <c r="AO194" s="1"/>
      <c r="AP194" s="1"/>
      <c r="AQ194" s="1"/>
      <c r="AR194" s="1"/>
      <c r="AS194" s="1"/>
    </row>
    <row r="195" spans="1:45" s="10" customFormat="1" ht="10" customHeight="1">
      <c r="A195" s="1"/>
      <c r="B195" s="131"/>
      <c r="C195" s="14"/>
      <c r="D195" s="14"/>
      <c r="E195" s="14"/>
      <c r="F195" s="14"/>
      <c r="G195" s="14"/>
      <c r="H195" s="14"/>
      <c r="I195" s="14"/>
      <c r="J195" s="15"/>
      <c r="K195" s="15"/>
      <c r="L195" s="1"/>
      <c r="M195" s="1"/>
      <c r="N195" s="1"/>
      <c r="O195" s="1"/>
      <c r="P195" s="1"/>
      <c r="Q195" s="1"/>
      <c r="R195" s="1"/>
      <c r="S195" s="1"/>
      <c r="T195" s="1"/>
      <c r="U195" s="1"/>
      <c r="V195" s="1"/>
      <c r="W195" s="1"/>
      <c r="X195" s="117"/>
      <c r="AH195" s="1"/>
      <c r="AI195" s="1"/>
      <c r="AJ195" s="1"/>
      <c r="AK195" s="1"/>
      <c r="AL195" s="1"/>
      <c r="AM195" s="1"/>
      <c r="AN195" s="1"/>
      <c r="AO195" s="1"/>
      <c r="AP195" s="1"/>
      <c r="AQ195" s="1"/>
      <c r="AR195" s="1"/>
      <c r="AS195" s="1"/>
    </row>
    <row r="196" spans="1:45" s="10" customFormat="1" ht="10" customHeight="1">
      <c r="A196" s="1"/>
      <c r="B196" s="131"/>
      <c r="C196" s="14"/>
      <c r="D196" s="14"/>
      <c r="E196" s="14"/>
      <c r="F196" s="14"/>
      <c r="G196" s="14"/>
      <c r="H196" s="14"/>
      <c r="I196" s="14"/>
      <c r="J196" s="15"/>
      <c r="K196" s="15"/>
      <c r="L196" s="1"/>
      <c r="M196" s="1"/>
      <c r="N196" s="1"/>
      <c r="O196" s="1"/>
      <c r="P196" s="1"/>
      <c r="Q196" s="1"/>
      <c r="R196" s="1"/>
      <c r="S196" s="1"/>
      <c r="T196" s="1"/>
      <c r="U196" s="1"/>
      <c r="V196" s="1"/>
      <c r="W196" s="1"/>
      <c r="X196" s="117"/>
      <c r="AH196" s="1"/>
      <c r="AI196" s="1"/>
      <c r="AJ196" s="1"/>
      <c r="AK196" s="1"/>
      <c r="AL196" s="1"/>
      <c r="AM196" s="1"/>
      <c r="AN196" s="1"/>
      <c r="AO196" s="1"/>
      <c r="AP196" s="1"/>
      <c r="AQ196" s="1"/>
      <c r="AR196" s="1"/>
      <c r="AS196" s="1"/>
    </row>
    <row r="197" spans="1:45" s="10" customFormat="1" ht="10" customHeight="1">
      <c r="A197" s="1"/>
      <c r="B197" s="131"/>
      <c r="C197" s="14"/>
      <c r="D197" s="14"/>
      <c r="E197" s="14"/>
      <c r="F197" s="14"/>
      <c r="G197" s="14"/>
      <c r="H197" s="14"/>
      <c r="I197" s="14"/>
      <c r="J197" s="15"/>
      <c r="K197" s="15"/>
      <c r="L197" s="1"/>
      <c r="M197" s="1"/>
      <c r="N197" s="1"/>
      <c r="O197" s="1"/>
      <c r="P197" s="1"/>
      <c r="Q197" s="1"/>
      <c r="R197" s="1"/>
      <c r="S197" s="1"/>
      <c r="T197" s="1"/>
      <c r="U197" s="1"/>
      <c r="V197" s="1"/>
      <c r="W197" s="1"/>
      <c r="X197" s="117"/>
      <c r="AH197" s="1"/>
      <c r="AI197" s="1"/>
      <c r="AJ197" s="1"/>
      <c r="AK197" s="1"/>
      <c r="AL197" s="1"/>
      <c r="AM197" s="1"/>
      <c r="AN197" s="1"/>
      <c r="AO197" s="1"/>
      <c r="AP197" s="1"/>
      <c r="AQ197" s="1"/>
      <c r="AR197" s="1"/>
      <c r="AS197" s="1"/>
    </row>
    <row r="198" spans="1:45" s="10" customFormat="1" ht="10" customHeight="1">
      <c r="A198" s="1"/>
      <c r="B198" s="131"/>
      <c r="C198" s="14"/>
      <c r="D198" s="14"/>
      <c r="E198" s="14"/>
      <c r="F198" s="14"/>
      <c r="G198" s="14"/>
      <c r="H198" s="14"/>
      <c r="I198" s="14"/>
      <c r="J198" s="15"/>
      <c r="K198" s="15"/>
      <c r="L198" s="1"/>
      <c r="M198" s="1"/>
      <c r="N198" s="1"/>
      <c r="O198" s="1"/>
      <c r="P198" s="1"/>
      <c r="Q198" s="1"/>
      <c r="R198" s="1"/>
      <c r="S198" s="1"/>
      <c r="T198" s="1"/>
      <c r="U198" s="1"/>
      <c r="V198" s="1"/>
      <c r="W198" s="1"/>
      <c r="X198" s="117"/>
      <c r="AH198" s="1"/>
      <c r="AI198" s="1"/>
      <c r="AJ198" s="1"/>
      <c r="AK198" s="1"/>
      <c r="AL198" s="1"/>
      <c r="AM198" s="1"/>
      <c r="AN198" s="1"/>
      <c r="AO198" s="1"/>
      <c r="AP198" s="1"/>
      <c r="AQ198" s="1"/>
      <c r="AR198" s="1"/>
      <c r="AS198" s="1"/>
    </row>
    <row r="199" spans="1:45" s="10" customFormat="1" ht="10" customHeight="1">
      <c r="A199" s="1"/>
      <c r="B199" s="131"/>
      <c r="C199" s="14"/>
      <c r="D199" s="14"/>
      <c r="E199" s="14"/>
      <c r="F199" s="14"/>
      <c r="G199" s="14"/>
      <c r="H199" s="14"/>
      <c r="I199" s="14"/>
      <c r="J199" s="15"/>
      <c r="K199" s="15"/>
      <c r="L199" s="1"/>
      <c r="M199" s="1"/>
      <c r="N199" s="1"/>
      <c r="O199" s="1"/>
      <c r="P199" s="1"/>
      <c r="Q199" s="1"/>
      <c r="R199" s="1"/>
      <c r="S199" s="1"/>
      <c r="T199" s="1"/>
      <c r="U199" s="1"/>
      <c r="V199" s="1"/>
      <c r="W199" s="1"/>
      <c r="X199" s="117"/>
      <c r="AH199" s="1"/>
      <c r="AI199" s="1"/>
      <c r="AJ199" s="1"/>
      <c r="AK199" s="1"/>
      <c r="AL199" s="1"/>
      <c r="AM199" s="1"/>
      <c r="AN199" s="1"/>
      <c r="AO199" s="1"/>
      <c r="AP199" s="1"/>
      <c r="AQ199" s="1"/>
      <c r="AR199" s="1"/>
      <c r="AS199" s="1"/>
    </row>
    <row r="200" spans="1:45" s="10" customFormat="1" ht="10" customHeight="1">
      <c r="A200" s="1"/>
      <c r="B200" s="131"/>
      <c r="C200" s="14"/>
      <c r="D200" s="14"/>
      <c r="E200" s="14"/>
      <c r="F200" s="14"/>
      <c r="G200" s="14"/>
      <c r="H200" s="14"/>
      <c r="I200" s="14"/>
      <c r="J200" s="15"/>
      <c r="K200" s="15"/>
      <c r="L200" s="1"/>
      <c r="M200" s="1"/>
      <c r="N200" s="1"/>
      <c r="O200" s="1"/>
      <c r="P200" s="1"/>
      <c r="Q200" s="1"/>
      <c r="R200" s="1"/>
      <c r="S200" s="1"/>
      <c r="T200" s="1"/>
      <c r="U200" s="1"/>
      <c r="V200" s="1"/>
      <c r="W200" s="1"/>
      <c r="X200" s="117"/>
      <c r="AH200" s="1"/>
      <c r="AI200" s="1"/>
      <c r="AJ200" s="1"/>
      <c r="AK200" s="1"/>
      <c r="AL200" s="1"/>
      <c r="AM200" s="1"/>
      <c r="AN200" s="1"/>
      <c r="AO200" s="1"/>
      <c r="AP200" s="1"/>
      <c r="AQ200" s="1"/>
      <c r="AR200" s="1"/>
      <c r="AS200" s="1"/>
    </row>
    <row r="201" spans="1:45" s="10" customFormat="1" ht="10" customHeight="1">
      <c r="A201" s="1"/>
      <c r="B201" s="131"/>
      <c r="C201" s="14"/>
      <c r="D201" s="14"/>
      <c r="E201" s="14"/>
      <c r="F201" s="14"/>
      <c r="G201" s="14"/>
      <c r="H201" s="14"/>
      <c r="I201" s="14"/>
      <c r="J201" s="15"/>
      <c r="K201" s="15"/>
      <c r="L201" s="1"/>
      <c r="M201" s="1"/>
      <c r="N201" s="1"/>
      <c r="O201" s="1"/>
      <c r="P201" s="1"/>
      <c r="Q201" s="1"/>
      <c r="R201" s="1"/>
      <c r="S201" s="1"/>
      <c r="T201" s="1"/>
      <c r="U201" s="1"/>
      <c r="V201" s="1"/>
      <c r="W201" s="1"/>
      <c r="X201" s="117"/>
      <c r="AH201" s="1"/>
      <c r="AI201" s="1"/>
      <c r="AJ201" s="1"/>
      <c r="AK201" s="1"/>
      <c r="AL201" s="1"/>
      <c r="AM201" s="1"/>
      <c r="AN201" s="1"/>
      <c r="AO201" s="1"/>
      <c r="AP201" s="1"/>
      <c r="AQ201" s="1"/>
      <c r="AR201" s="1"/>
      <c r="AS201" s="1"/>
    </row>
    <row r="202" spans="1:45" s="10" customFormat="1" ht="10" customHeight="1">
      <c r="A202" s="1"/>
      <c r="B202" s="131"/>
      <c r="C202" s="14"/>
      <c r="D202" s="14"/>
      <c r="E202" s="14"/>
      <c r="F202" s="14"/>
      <c r="G202" s="14"/>
      <c r="H202" s="14"/>
      <c r="I202" s="14"/>
      <c r="J202" s="15"/>
      <c r="K202" s="15"/>
      <c r="L202" s="1"/>
      <c r="M202" s="1"/>
      <c r="N202" s="1"/>
      <c r="O202" s="1"/>
      <c r="P202" s="1"/>
      <c r="Q202" s="1"/>
      <c r="R202" s="1"/>
      <c r="S202" s="1"/>
      <c r="T202" s="1"/>
      <c r="U202" s="1"/>
      <c r="V202" s="1"/>
      <c r="W202" s="1"/>
      <c r="X202" s="117"/>
      <c r="AH202" s="1"/>
      <c r="AI202" s="1"/>
      <c r="AJ202" s="1"/>
      <c r="AK202" s="1"/>
      <c r="AL202" s="1"/>
      <c r="AM202" s="1"/>
      <c r="AN202" s="1"/>
      <c r="AO202" s="1"/>
      <c r="AP202" s="1"/>
      <c r="AQ202" s="1"/>
      <c r="AR202" s="1"/>
      <c r="AS202" s="1"/>
    </row>
    <row r="203" spans="1:45" s="10" customFormat="1" ht="10" customHeight="1">
      <c r="A203" s="1"/>
      <c r="B203" s="131"/>
      <c r="C203" s="14"/>
      <c r="D203" s="14"/>
      <c r="E203" s="14"/>
      <c r="F203" s="14"/>
      <c r="G203" s="14"/>
      <c r="H203" s="14"/>
      <c r="I203" s="14"/>
      <c r="J203" s="15"/>
      <c r="K203" s="15"/>
      <c r="L203" s="1"/>
      <c r="M203" s="1"/>
      <c r="N203" s="1"/>
      <c r="O203" s="1"/>
      <c r="P203" s="1"/>
      <c r="Q203" s="1"/>
      <c r="R203" s="1"/>
      <c r="S203" s="1"/>
      <c r="T203" s="1"/>
      <c r="U203" s="1"/>
      <c r="V203" s="1"/>
      <c r="W203" s="1"/>
      <c r="X203" s="117"/>
      <c r="AH203" s="1"/>
      <c r="AI203" s="1"/>
      <c r="AJ203" s="1"/>
      <c r="AK203" s="1"/>
      <c r="AL203" s="1"/>
      <c r="AM203" s="1"/>
      <c r="AN203" s="1"/>
      <c r="AO203" s="1"/>
      <c r="AP203" s="1"/>
      <c r="AQ203" s="1"/>
      <c r="AR203" s="1"/>
      <c r="AS203" s="1"/>
    </row>
    <row r="204" spans="1:45" s="10" customFormat="1" ht="10" customHeight="1">
      <c r="A204" s="1"/>
      <c r="B204" s="131"/>
      <c r="C204" s="14"/>
      <c r="D204" s="14"/>
      <c r="E204" s="14"/>
      <c r="F204" s="14"/>
      <c r="G204" s="14"/>
      <c r="H204" s="14"/>
      <c r="I204" s="14"/>
      <c r="J204" s="15"/>
      <c r="K204" s="15"/>
      <c r="L204" s="1"/>
      <c r="M204" s="1"/>
      <c r="N204" s="1"/>
      <c r="O204" s="1"/>
      <c r="P204" s="1"/>
      <c r="Q204" s="1"/>
      <c r="R204" s="1"/>
      <c r="S204" s="1"/>
      <c r="T204" s="1"/>
      <c r="U204" s="1"/>
      <c r="V204" s="1"/>
      <c r="W204" s="1"/>
      <c r="X204" s="117"/>
      <c r="AH204" s="1"/>
      <c r="AI204" s="1"/>
      <c r="AJ204" s="1"/>
      <c r="AK204" s="1"/>
      <c r="AL204" s="1"/>
      <c r="AM204" s="1"/>
      <c r="AN204" s="1"/>
      <c r="AO204" s="1"/>
      <c r="AP204" s="1"/>
      <c r="AQ204" s="1"/>
      <c r="AR204" s="1"/>
      <c r="AS204" s="1"/>
    </row>
    <row r="205" spans="1:45" s="10" customFormat="1" ht="10" customHeight="1">
      <c r="A205" s="1"/>
      <c r="B205" s="131"/>
      <c r="C205" s="14"/>
      <c r="D205" s="14"/>
      <c r="E205" s="14"/>
      <c r="F205" s="14"/>
      <c r="G205" s="14"/>
      <c r="H205" s="14"/>
      <c r="I205" s="14"/>
      <c r="J205" s="15"/>
      <c r="K205" s="15"/>
      <c r="L205" s="1"/>
      <c r="M205" s="1"/>
      <c r="N205" s="1"/>
      <c r="O205" s="1"/>
      <c r="P205" s="1"/>
      <c r="Q205" s="1"/>
      <c r="R205" s="1"/>
      <c r="S205" s="1"/>
      <c r="T205" s="1"/>
      <c r="U205" s="1"/>
      <c r="V205" s="1"/>
      <c r="W205" s="1"/>
      <c r="X205" s="117"/>
      <c r="AH205" s="1"/>
      <c r="AI205" s="1"/>
      <c r="AJ205" s="1"/>
      <c r="AK205" s="1"/>
      <c r="AL205" s="1"/>
      <c r="AM205" s="1"/>
      <c r="AN205" s="1"/>
      <c r="AO205" s="1"/>
      <c r="AP205" s="1"/>
      <c r="AQ205" s="1"/>
      <c r="AR205" s="1"/>
      <c r="AS205" s="1"/>
    </row>
    <row r="206" spans="1:45" s="10" customFormat="1" ht="10" customHeight="1">
      <c r="A206" s="1"/>
      <c r="B206" s="131"/>
      <c r="C206" s="14"/>
      <c r="D206" s="14"/>
      <c r="E206" s="14"/>
      <c r="F206" s="14"/>
      <c r="G206" s="14"/>
      <c r="H206" s="14"/>
      <c r="I206" s="14"/>
      <c r="J206" s="15"/>
      <c r="K206" s="15"/>
      <c r="L206" s="1"/>
      <c r="M206" s="1"/>
      <c r="N206" s="1"/>
      <c r="O206" s="1"/>
      <c r="P206" s="1"/>
      <c r="Q206" s="1"/>
      <c r="R206" s="1"/>
      <c r="S206" s="1"/>
      <c r="T206" s="1"/>
      <c r="U206" s="1"/>
      <c r="V206" s="1"/>
      <c r="W206" s="1"/>
      <c r="X206" s="117"/>
      <c r="AH206" s="1"/>
      <c r="AI206" s="1"/>
      <c r="AJ206" s="1"/>
      <c r="AK206" s="1"/>
      <c r="AL206" s="1"/>
      <c r="AM206" s="1"/>
      <c r="AN206" s="1"/>
      <c r="AO206" s="1"/>
      <c r="AP206" s="1"/>
      <c r="AQ206" s="1"/>
      <c r="AR206" s="1"/>
      <c r="AS206" s="1"/>
    </row>
    <row r="207" spans="1:45" s="10" customFormat="1" ht="10" customHeight="1">
      <c r="A207" s="1"/>
      <c r="B207" s="131"/>
      <c r="C207" s="14"/>
      <c r="D207" s="14"/>
      <c r="E207" s="14"/>
      <c r="F207" s="14"/>
      <c r="G207" s="14"/>
      <c r="H207" s="14"/>
      <c r="I207" s="14"/>
      <c r="J207" s="15"/>
      <c r="K207" s="15"/>
      <c r="L207" s="1"/>
      <c r="M207" s="1"/>
      <c r="N207" s="1"/>
      <c r="O207" s="1"/>
      <c r="P207" s="1"/>
      <c r="Q207" s="1"/>
      <c r="R207" s="1"/>
      <c r="S207" s="1"/>
      <c r="T207" s="1"/>
      <c r="U207" s="1"/>
      <c r="V207" s="1"/>
      <c r="W207" s="1"/>
      <c r="X207" s="117"/>
      <c r="AH207" s="1"/>
      <c r="AI207" s="1"/>
      <c r="AJ207" s="1"/>
      <c r="AK207" s="1"/>
      <c r="AL207" s="1"/>
      <c r="AM207" s="1"/>
      <c r="AN207" s="1"/>
      <c r="AO207" s="1"/>
      <c r="AP207" s="1"/>
      <c r="AQ207" s="1"/>
      <c r="AR207" s="1"/>
      <c r="AS207" s="1"/>
    </row>
    <row r="208" spans="1:45" s="10" customFormat="1" ht="10" customHeight="1">
      <c r="A208" s="1"/>
      <c r="B208" s="131"/>
      <c r="C208" s="14"/>
      <c r="D208" s="14"/>
      <c r="E208" s="14"/>
      <c r="F208" s="14"/>
      <c r="G208" s="14"/>
      <c r="H208" s="14"/>
      <c r="I208" s="14"/>
      <c r="J208" s="15"/>
      <c r="K208" s="15"/>
      <c r="L208" s="1"/>
      <c r="M208" s="1"/>
      <c r="N208" s="1"/>
      <c r="O208" s="1"/>
      <c r="P208" s="1"/>
      <c r="Q208" s="1"/>
      <c r="R208" s="1"/>
      <c r="S208" s="1"/>
      <c r="T208" s="1"/>
      <c r="U208" s="1"/>
      <c r="V208" s="1"/>
      <c r="W208" s="1"/>
      <c r="X208" s="117"/>
      <c r="AH208" s="1"/>
      <c r="AI208" s="1"/>
      <c r="AJ208" s="1"/>
      <c r="AK208" s="1"/>
      <c r="AL208" s="1"/>
      <c r="AM208" s="1"/>
      <c r="AN208" s="1"/>
      <c r="AO208" s="1"/>
      <c r="AP208" s="1"/>
      <c r="AQ208" s="1"/>
      <c r="AR208" s="1"/>
      <c r="AS208" s="1"/>
    </row>
    <row r="209" spans="1:45" s="10" customFormat="1" ht="10" customHeight="1">
      <c r="A209" s="1"/>
      <c r="B209" s="131"/>
      <c r="C209" s="14"/>
      <c r="D209" s="14"/>
      <c r="E209" s="14"/>
      <c r="F209" s="14"/>
      <c r="G209" s="14"/>
      <c r="H209" s="14"/>
      <c r="I209" s="14"/>
      <c r="J209" s="15"/>
      <c r="K209" s="15"/>
      <c r="L209" s="1"/>
      <c r="M209" s="1"/>
      <c r="N209" s="1"/>
      <c r="O209" s="1"/>
      <c r="P209" s="1"/>
      <c r="Q209" s="1"/>
      <c r="R209" s="1"/>
      <c r="S209" s="1"/>
      <c r="T209" s="1"/>
      <c r="U209" s="1"/>
      <c r="V209" s="1"/>
      <c r="W209" s="1"/>
      <c r="X209" s="117"/>
      <c r="AH209" s="1"/>
      <c r="AI209" s="1"/>
      <c r="AJ209" s="1"/>
      <c r="AK209" s="1"/>
      <c r="AL209" s="1"/>
      <c r="AM209" s="1"/>
      <c r="AN209" s="1"/>
      <c r="AO209" s="1"/>
      <c r="AP209" s="1"/>
      <c r="AQ209" s="1"/>
      <c r="AR209" s="1"/>
      <c r="AS209" s="1"/>
    </row>
    <row r="210" spans="1:45" s="10" customFormat="1" ht="10" customHeight="1">
      <c r="A210" s="1"/>
      <c r="B210" s="131"/>
      <c r="C210" s="14"/>
      <c r="D210" s="14"/>
      <c r="E210" s="14"/>
      <c r="F210" s="14"/>
      <c r="G210" s="14"/>
      <c r="H210" s="14"/>
      <c r="I210" s="14"/>
      <c r="J210" s="15"/>
      <c r="K210" s="15"/>
      <c r="L210" s="1"/>
      <c r="M210" s="1"/>
      <c r="N210" s="1"/>
      <c r="O210" s="1"/>
      <c r="P210" s="1"/>
      <c r="Q210" s="1"/>
      <c r="R210" s="1"/>
      <c r="S210" s="1"/>
      <c r="T210" s="1"/>
      <c r="U210" s="1"/>
      <c r="V210" s="1"/>
      <c r="W210" s="1"/>
      <c r="X210" s="117"/>
      <c r="AH210" s="1"/>
      <c r="AI210" s="1"/>
      <c r="AJ210" s="1"/>
      <c r="AK210" s="1"/>
      <c r="AL210" s="1"/>
      <c r="AM210" s="1"/>
      <c r="AN210" s="1"/>
      <c r="AO210" s="1"/>
      <c r="AP210" s="1"/>
      <c r="AQ210" s="1"/>
      <c r="AR210" s="1"/>
      <c r="AS210" s="1"/>
    </row>
    <row r="211" spans="1:45" s="10" customFormat="1" ht="10" customHeight="1">
      <c r="A211" s="1"/>
      <c r="B211" s="131"/>
      <c r="C211" s="14"/>
      <c r="D211" s="14"/>
      <c r="E211" s="14"/>
      <c r="F211" s="14"/>
      <c r="G211" s="14"/>
      <c r="H211" s="14"/>
      <c r="I211" s="14"/>
      <c r="J211" s="15"/>
      <c r="K211" s="15"/>
      <c r="L211" s="1"/>
      <c r="M211" s="1"/>
      <c r="N211" s="1"/>
      <c r="O211" s="1"/>
      <c r="P211" s="1"/>
      <c r="Q211" s="1"/>
      <c r="R211" s="1"/>
      <c r="S211" s="1"/>
      <c r="T211" s="1"/>
      <c r="U211" s="1"/>
      <c r="V211" s="1"/>
      <c r="W211" s="1"/>
      <c r="X211" s="117"/>
      <c r="AH211" s="1"/>
      <c r="AI211" s="1"/>
      <c r="AJ211" s="1"/>
      <c r="AK211" s="1"/>
      <c r="AL211" s="1"/>
      <c r="AM211" s="1"/>
      <c r="AN211" s="1"/>
      <c r="AO211" s="1"/>
      <c r="AP211" s="1"/>
      <c r="AQ211" s="1"/>
      <c r="AR211" s="1"/>
      <c r="AS211" s="1"/>
    </row>
    <row r="212" spans="1:45" s="10" customFormat="1" ht="10" customHeight="1">
      <c r="A212" s="1"/>
      <c r="B212" s="131"/>
      <c r="C212" s="14"/>
      <c r="D212" s="14"/>
      <c r="E212" s="14"/>
      <c r="F212" s="14"/>
      <c r="G212" s="14"/>
      <c r="H212" s="14"/>
      <c r="I212" s="14"/>
      <c r="J212" s="15"/>
      <c r="K212" s="15"/>
      <c r="L212" s="1"/>
      <c r="M212" s="1"/>
      <c r="N212" s="1"/>
      <c r="O212" s="1"/>
      <c r="P212" s="1"/>
      <c r="Q212" s="1"/>
      <c r="R212" s="1"/>
      <c r="S212" s="1"/>
      <c r="T212" s="1"/>
      <c r="U212" s="1"/>
      <c r="V212" s="1"/>
      <c r="W212" s="1"/>
      <c r="X212" s="117"/>
      <c r="AH212" s="1"/>
      <c r="AI212" s="1"/>
      <c r="AJ212" s="1"/>
      <c r="AK212" s="1"/>
      <c r="AL212" s="1"/>
      <c r="AM212" s="1"/>
      <c r="AN212" s="1"/>
      <c r="AO212" s="1"/>
      <c r="AP212" s="1"/>
      <c r="AQ212" s="1"/>
      <c r="AR212" s="1"/>
      <c r="AS212" s="1"/>
    </row>
    <row r="213" spans="1:45" s="10" customFormat="1" ht="10" customHeight="1">
      <c r="A213" s="1"/>
      <c r="B213" s="131"/>
      <c r="C213" s="14"/>
      <c r="D213" s="14"/>
      <c r="E213" s="14"/>
      <c r="F213" s="14"/>
      <c r="G213" s="14"/>
      <c r="H213" s="14"/>
      <c r="I213" s="14"/>
      <c r="J213" s="15"/>
      <c r="K213" s="15"/>
      <c r="L213" s="1"/>
      <c r="M213" s="1"/>
      <c r="N213" s="1"/>
      <c r="O213" s="1"/>
      <c r="P213" s="1"/>
      <c r="Q213" s="1"/>
      <c r="R213" s="1"/>
      <c r="S213" s="1"/>
      <c r="T213" s="1"/>
      <c r="U213" s="1"/>
      <c r="V213" s="1"/>
      <c r="W213" s="1"/>
      <c r="X213" s="117"/>
      <c r="AH213" s="1"/>
      <c r="AI213" s="1"/>
      <c r="AJ213" s="1"/>
      <c r="AK213" s="1"/>
      <c r="AL213" s="1"/>
      <c r="AM213" s="1"/>
      <c r="AN213" s="1"/>
      <c r="AO213" s="1"/>
      <c r="AP213" s="1"/>
      <c r="AQ213" s="1"/>
      <c r="AR213" s="1"/>
      <c r="AS213" s="1"/>
    </row>
    <row r="214" spans="1:45" s="10" customFormat="1" ht="10" customHeight="1">
      <c r="A214" s="1"/>
      <c r="B214" s="131"/>
      <c r="C214" s="14"/>
      <c r="D214" s="14"/>
      <c r="E214" s="14"/>
      <c r="F214" s="14"/>
      <c r="G214" s="14"/>
      <c r="H214" s="14"/>
      <c r="I214" s="14"/>
      <c r="J214" s="15"/>
      <c r="K214" s="15"/>
      <c r="L214" s="1"/>
      <c r="M214" s="1"/>
      <c r="N214" s="1"/>
      <c r="O214" s="1"/>
      <c r="P214" s="1"/>
      <c r="Q214" s="1"/>
      <c r="R214" s="1"/>
      <c r="S214" s="1"/>
      <c r="T214" s="1"/>
      <c r="U214" s="1"/>
      <c r="V214" s="1"/>
      <c r="W214" s="1"/>
      <c r="X214" s="117"/>
      <c r="AH214" s="1"/>
      <c r="AI214" s="1"/>
      <c r="AJ214" s="1"/>
      <c r="AK214" s="1"/>
      <c r="AL214" s="1"/>
      <c r="AM214" s="1"/>
      <c r="AN214" s="1"/>
      <c r="AO214" s="1"/>
      <c r="AP214" s="1"/>
      <c r="AQ214" s="1"/>
      <c r="AR214" s="1"/>
      <c r="AS214" s="1"/>
    </row>
    <row r="215" spans="1:45" s="10" customFormat="1" ht="10" customHeight="1">
      <c r="A215" s="1"/>
      <c r="B215" s="131"/>
      <c r="C215" s="14"/>
      <c r="D215" s="14"/>
      <c r="E215" s="14"/>
      <c r="F215" s="14"/>
      <c r="G215" s="14"/>
      <c r="H215" s="14"/>
      <c r="I215" s="14"/>
      <c r="J215" s="15"/>
      <c r="K215" s="15"/>
      <c r="L215" s="1"/>
      <c r="M215" s="1"/>
      <c r="N215" s="1"/>
      <c r="O215" s="1"/>
      <c r="P215" s="1"/>
      <c r="Q215" s="1"/>
      <c r="R215" s="1"/>
      <c r="S215" s="1"/>
      <c r="T215" s="1"/>
      <c r="U215" s="1"/>
      <c r="V215" s="1"/>
      <c r="W215" s="1"/>
      <c r="X215" s="117"/>
      <c r="AH215" s="1"/>
      <c r="AI215" s="1"/>
      <c r="AJ215" s="1"/>
      <c r="AK215" s="1"/>
      <c r="AL215" s="1"/>
      <c r="AM215" s="1"/>
      <c r="AN215" s="1"/>
      <c r="AO215" s="1"/>
      <c r="AP215" s="1"/>
      <c r="AQ215" s="1"/>
      <c r="AR215" s="1"/>
      <c r="AS215" s="1"/>
    </row>
    <row r="216" spans="1:45" s="10" customFormat="1" ht="10" customHeight="1">
      <c r="A216" s="1"/>
      <c r="B216" s="131"/>
      <c r="C216" s="14"/>
      <c r="D216" s="14"/>
      <c r="E216" s="14"/>
      <c r="F216" s="14"/>
      <c r="G216" s="14"/>
      <c r="H216" s="14"/>
      <c r="I216" s="14"/>
      <c r="J216" s="15"/>
      <c r="K216" s="15"/>
      <c r="L216" s="1"/>
      <c r="M216" s="1"/>
      <c r="N216" s="1"/>
      <c r="O216" s="1"/>
      <c r="P216" s="1"/>
      <c r="Q216" s="1"/>
      <c r="R216" s="1"/>
      <c r="S216" s="1"/>
      <c r="T216" s="1"/>
      <c r="U216" s="1"/>
      <c r="V216" s="1"/>
      <c r="W216" s="1"/>
      <c r="X216" s="117"/>
      <c r="AH216" s="1"/>
      <c r="AI216" s="1"/>
      <c r="AJ216" s="1"/>
      <c r="AK216" s="1"/>
      <c r="AL216" s="1"/>
      <c r="AM216" s="1"/>
      <c r="AN216" s="1"/>
      <c r="AO216" s="1"/>
      <c r="AP216" s="1"/>
      <c r="AQ216" s="1"/>
      <c r="AR216" s="1"/>
      <c r="AS216" s="1"/>
    </row>
    <row r="217" spans="1:45" s="10" customFormat="1" ht="10" customHeight="1">
      <c r="A217" s="1"/>
      <c r="B217" s="131"/>
      <c r="C217" s="14"/>
      <c r="D217" s="14"/>
      <c r="E217" s="14"/>
      <c r="F217" s="14"/>
      <c r="G217" s="14"/>
      <c r="H217" s="14"/>
      <c r="I217" s="14"/>
      <c r="J217" s="15"/>
      <c r="K217" s="15"/>
      <c r="L217" s="1"/>
      <c r="M217" s="1"/>
      <c r="N217" s="1"/>
      <c r="O217" s="1"/>
      <c r="P217" s="1"/>
      <c r="Q217" s="1"/>
      <c r="R217" s="1"/>
      <c r="S217" s="1"/>
      <c r="T217" s="1"/>
      <c r="U217" s="1"/>
      <c r="V217" s="1"/>
      <c r="W217" s="1"/>
      <c r="X217" s="117"/>
      <c r="AH217" s="1"/>
      <c r="AI217" s="1"/>
      <c r="AJ217" s="1"/>
      <c r="AK217" s="1"/>
      <c r="AL217" s="1"/>
      <c r="AM217" s="1"/>
      <c r="AN217" s="1"/>
      <c r="AO217" s="1"/>
      <c r="AP217" s="1"/>
      <c r="AQ217" s="1"/>
      <c r="AR217" s="1"/>
      <c r="AS217" s="1"/>
    </row>
    <row r="218" spans="1:45" s="10" customFormat="1" ht="10" customHeight="1">
      <c r="A218" s="1"/>
      <c r="B218" s="131"/>
      <c r="C218" s="14"/>
      <c r="D218" s="14"/>
      <c r="E218" s="14"/>
      <c r="F218" s="14"/>
      <c r="G218" s="14"/>
      <c r="H218" s="14"/>
      <c r="I218" s="14"/>
      <c r="J218" s="15"/>
      <c r="K218" s="15"/>
      <c r="L218" s="1"/>
      <c r="M218" s="1"/>
      <c r="N218" s="1"/>
      <c r="O218" s="1"/>
      <c r="P218" s="1"/>
      <c r="Q218" s="1"/>
      <c r="R218" s="1"/>
      <c r="S218" s="1"/>
      <c r="T218" s="1"/>
      <c r="U218" s="1"/>
      <c r="V218" s="1"/>
      <c r="W218" s="1"/>
      <c r="X218" s="117"/>
      <c r="AH218" s="1"/>
      <c r="AI218" s="1"/>
      <c r="AJ218" s="1"/>
      <c r="AK218" s="1"/>
      <c r="AL218" s="1"/>
      <c r="AM218" s="1"/>
      <c r="AN218" s="1"/>
      <c r="AO218" s="1"/>
      <c r="AP218" s="1"/>
      <c r="AQ218" s="1"/>
      <c r="AR218" s="1"/>
      <c r="AS218" s="1"/>
    </row>
    <row r="219" spans="1:45" s="10" customFormat="1" ht="10" customHeight="1">
      <c r="A219" s="1"/>
      <c r="B219" s="131"/>
      <c r="C219" s="14"/>
      <c r="D219" s="14"/>
      <c r="E219" s="14"/>
      <c r="F219" s="14"/>
      <c r="G219" s="14"/>
      <c r="H219" s="14"/>
      <c r="I219" s="14"/>
      <c r="J219" s="15"/>
      <c r="K219" s="15"/>
      <c r="L219" s="1"/>
      <c r="M219" s="1"/>
      <c r="N219" s="1"/>
      <c r="O219" s="1"/>
      <c r="P219" s="1"/>
      <c r="Q219" s="1"/>
      <c r="R219" s="1"/>
      <c r="S219" s="1"/>
      <c r="T219" s="1"/>
      <c r="U219" s="1"/>
      <c r="V219" s="1"/>
      <c r="W219" s="1"/>
      <c r="X219" s="117"/>
      <c r="AH219" s="1"/>
      <c r="AI219" s="1"/>
      <c r="AJ219" s="1"/>
      <c r="AK219" s="1"/>
      <c r="AL219" s="1"/>
      <c r="AM219" s="1"/>
      <c r="AN219" s="1"/>
      <c r="AO219" s="1"/>
      <c r="AP219" s="1"/>
      <c r="AQ219" s="1"/>
      <c r="AR219" s="1"/>
      <c r="AS219" s="1"/>
    </row>
    <row r="220" spans="1:45" ht="10" customHeight="1">
      <c r="O220" s="1"/>
      <c r="P220" s="1"/>
      <c r="Q220" s="1"/>
      <c r="R220" s="1"/>
      <c r="S220" s="1"/>
      <c r="T220" s="1"/>
      <c r="U220" s="1"/>
      <c r="V220" s="1"/>
      <c r="W220" s="1"/>
      <c r="X220" s="117"/>
    </row>
    <row r="221" spans="1:45" ht="10" customHeight="1">
      <c r="O221" s="1"/>
      <c r="P221" s="1"/>
      <c r="Q221" s="1"/>
      <c r="R221" s="1"/>
      <c r="S221" s="1"/>
      <c r="T221" s="1"/>
      <c r="U221" s="1"/>
      <c r="V221" s="1"/>
      <c r="W221" s="1"/>
      <c r="X221" s="117"/>
    </row>
    <row r="222" spans="1:45" ht="10" customHeight="1">
      <c r="O222" s="1"/>
      <c r="P222" s="1"/>
      <c r="Q222" s="1"/>
      <c r="R222" s="1"/>
      <c r="S222" s="1"/>
      <c r="T222" s="1"/>
      <c r="U222" s="1"/>
      <c r="V222" s="1"/>
      <c r="W222" s="1"/>
      <c r="X222" s="117"/>
    </row>
    <row r="223" spans="1:45" ht="10" customHeight="1">
      <c r="O223" s="1"/>
      <c r="P223" s="1"/>
      <c r="Q223" s="1"/>
      <c r="R223" s="1"/>
      <c r="S223" s="1"/>
      <c r="T223" s="1"/>
      <c r="U223" s="1"/>
      <c r="V223" s="1"/>
      <c r="W223" s="1"/>
      <c r="X223" s="117"/>
    </row>
    <row r="224" spans="1:45" ht="10" customHeight="1">
      <c r="O224" s="1"/>
      <c r="P224" s="1"/>
      <c r="Q224" s="1"/>
      <c r="R224" s="1"/>
      <c r="S224" s="1"/>
      <c r="T224" s="1"/>
      <c r="U224" s="1"/>
      <c r="V224" s="1"/>
      <c r="W224" s="1"/>
      <c r="X224" s="117"/>
    </row>
    <row r="225" spans="15:24" ht="10" customHeight="1">
      <c r="O225" s="1"/>
      <c r="P225" s="1"/>
      <c r="Q225" s="1"/>
      <c r="R225" s="1"/>
      <c r="S225" s="1"/>
      <c r="T225" s="1"/>
      <c r="U225" s="1"/>
      <c r="V225" s="1"/>
      <c r="W225" s="1"/>
      <c r="X225" s="117"/>
    </row>
    <row r="226" spans="15:24" ht="10" customHeight="1">
      <c r="O226" s="1"/>
      <c r="P226" s="1"/>
      <c r="Q226" s="1"/>
      <c r="R226" s="1"/>
      <c r="S226" s="1"/>
      <c r="T226" s="1"/>
      <c r="U226" s="1"/>
      <c r="V226" s="1"/>
      <c r="W226" s="1"/>
      <c r="X226" s="117"/>
    </row>
    <row r="227" spans="15:24" ht="10" customHeight="1">
      <c r="O227" s="1"/>
      <c r="P227" s="1"/>
      <c r="Q227" s="1"/>
      <c r="R227" s="1"/>
      <c r="S227" s="1"/>
      <c r="T227" s="1"/>
      <c r="U227" s="1"/>
      <c r="V227" s="1"/>
      <c r="W227" s="1"/>
      <c r="X227" s="117"/>
    </row>
    <row r="228" spans="15:24" ht="10" customHeight="1">
      <c r="O228" s="1"/>
      <c r="P228" s="1"/>
      <c r="Q228" s="1"/>
      <c r="R228" s="1"/>
      <c r="S228" s="1"/>
      <c r="T228" s="1"/>
      <c r="U228" s="1"/>
      <c r="V228" s="1"/>
      <c r="W228" s="1"/>
      <c r="X228" s="117"/>
    </row>
    <row r="229" spans="15:24" ht="10" customHeight="1">
      <c r="O229" s="1"/>
      <c r="P229" s="1"/>
      <c r="Q229" s="1"/>
      <c r="R229" s="1"/>
      <c r="S229" s="1"/>
      <c r="T229" s="1"/>
      <c r="U229" s="1"/>
      <c r="V229" s="1"/>
      <c r="W229" s="1"/>
      <c r="X229" s="117"/>
    </row>
    <row r="230" spans="15:24" ht="10" customHeight="1">
      <c r="O230" s="1"/>
      <c r="P230" s="1"/>
      <c r="Q230" s="1"/>
      <c r="R230" s="1"/>
      <c r="S230" s="1"/>
      <c r="T230" s="1"/>
      <c r="U230" s="1"/>
      <c r="V230" s="1"/>
      <c r="W230" s="1"/>
      <c r="X230" s="117"/>
    </row>
    <row r="231" spans="15:24" ht="10" customHeight="1">
      <c r="O231" s="1"/>
      <c r="P231" s="1"/>
      <c r="Q231" s="1"/>
      <c r="R231" s="1"/>
      <c r="S231" s="1"/>
      <c r="T231" s="1"/>
      <c r="U231" s="1"/>
      <c r="V231" s="1"/>
      <c r="W231" s="1"/>
      <c r="X231" s="117"/>
    </row>
    <row r="232" spans="15:24" ht="10" customHeight="1">
      <c r="O232" s="1"/>
      <c r="P232" s="1"/>
      <c r="Q232" s="1"/>
      <c r="R232" s="1"/>
      <c r="S232" s="1"/>
      <c r="T232" s="1"/>
      <c r="U232" s="1"/>
      <c r="V232" s="1"/>
      <c r="W232" s="1"/>
      <c r="X232" s="117"/>
    </row>
    <row r="233" spans="15:24" ht="10" customHeight="1">
      <c r="O233" s="1"/>
      <c r="P233" s="1"/>
      <c r="Q233" s="1"/>
      <c r="R233" s="1"/>
      <c r="S233" s="1"/>
      <c r="T233" s="1"/>
      <c r="U233" s="1"/>
      <c r="V233" s="1"/>
      <c r="W233" s="1"/>
      <c r="X233" s="117"/>
    </row>
    <row r="234" spans="15:24" ht="10" customHeight="1">
      <c r="O234" s="1"/>
      <c r="P234" s="1"/>
      <c r="Q234" s="1"/>
      <c r="R234" s="1"/>
      <c r="S234" s="1"/>
      <c r="T234" s="1"/>
      <c r="U234" s="1"/>
      <c r="V234" s="1"/>
      <c r="W234" s="1"/>
      <c r="X234" s="117"/>
    </row>
    <row r="235" spans="15:24" ht="10" customHeight="1">
      <c r="O235" s="1"/>
      <c r="P235" s="1"/>
      <c r="Q235" s="1"/>
      <c r="R235" s="1"/>
      <c r="S235" s="1"/>
      <c r="T235" s="1"/>
      <c r="U235" s="1"/>
      <c r="V235" s="1"/>
      <c r="W235" s="1"/>
      <c r="X235" s="117"/>
    </row>
    <row r="236" spans="15:24" ht="10" customHeight="1">
      <c r="O236" s="1"/>
      <c r="P236" s="1"/>
      <c r="Q236" s="1"/>
      <c r="R236" s="1"/>
      <c r="S236" s="1"/>
      <c r="T236" s="1"/>
      <c r="U236" s="1"/>
      <c r="V236" s="1"/>
      <c r="W236" s="1"/>
      <c r="X236" s="117"/>
    </row>
    <row r="237" spans="15:24" ht="10" customHeight="1">
      <c r="O237" s="1"/>
      <c r="P237" s="1"/>
      <c r="Q237" s="1"/>
      <c r="R237" s="1"/>
      <c r="S237" s="1"/>
      <c r="T237" s="1"/>
      <c r="U237" s="1"/>
      <c r="V237" s="1"/>
      <c r="W237" s="1"/>
      <c r="X237" s="117"/>
    </row>
    <row r="238" spans="15:24" ht="10" customHeight="1">
      <c r="O238" s="1"/>
      <c r="P238" s="1"/>
      <c r="Q238" s="1"/>
      <c r="R238" s="1"/>
      <c r="S238" s="1"/>
      <c r="T238" s="1"/>
      <c r="U238" s="1"/>
      <c r="V238" s="1"/>
      <c r="W238" s="1"/>
      <c r="X238" s="117"/>
    </row>
    <row r="239" spans="15:24" ht="10" customHeight="1">
      <c r="O239" s="1"/>
      <c r="P239" s="1"/>
      <c r="Q239" s="1"/>
      <c r="R239" s="1"/>
      <c r="S239" s="1"/>
      <c r="T239" s="1"/>
      <c r="U239" s="1"/>
      <c r="V239" s="1"/>
      <c r="W239" s="1"/>
      <c r="X239" s="117"/>
    </row>
    <row r="240" spans="15:24" ht="10" customHeight="1">
      <c r="O240" s="1"/>
      <c r="P240" s="1"/>
      <c r="Q240" s="1"/>
      <c r="R240" s="1"/>
      <c r="S240" s="1"/>
      <c r="T240" s="1"/>
      <c r="U240" s="1"/>
      <c r="V240" s="1"/>
      <c r="W240" s="1"/>
      <c r="X240" s="117"/>
    </row>
    <row r="241" spans="15:24" ht="10" customHeight="1">
      <c r="O241" s="1"/>
      <c r="P241" s="1"/>
      <c r="Q241" s="1"/>
      <c r="R241" s="1"/>
      <c r="S241" s="1"/>
      <c r="T241" s="1"/>
      <c r="U241" s="1"/>
      <c r="V241" s="1"/>
      <c r="W241" s="1"/>
      <c r="X241" s="117"/>
    </row>
    <row r="242" spans="15:24" ht="10" customHeight="1">
      <c r="O242" s="1"/>
      <c r="P242" s="1"/>
      <c r="Q242" s="1"/>
      <c r="R242" s="1"/>
      <c r="S242" s="1"/>
      <c r="T242" s="1"/>
      <c r="U242" s="1"/>
      <c r="V242" s="1"/>
      <c r="W242" s="1"/>
      <c r="X242" s="117"/>
    </row>
    <row r="243" spans="15:24" ht="10" customHeight="1">
      <c r="O243" s="1"/>
      <c r="P243" s="1"/>
      <c r="Q243" s="1"/>
      <c r="R243" s="1"/>
      <c r="S243" s="1"/>
      <c r="T243" s="1"/>
      <c r="U243" s="1"/>
      <c r="V243" s="1"/>
      <c r="W243" s="1"/>
      <c r="X243" s="117"/>
    </row>
    <row r="244" spans="15:24" ht="10" customHeight="1">
      <c r="O244" s="1"/>
      <c r="P244" s="1"/>
      <c r="Q244" s="1"/>
      <c r="R244" s="1"/>
      <c r="S244" s="1"/>
      <c r="T244" s="1"/>
      <c r="U244" s="1"/>
      <c r="V244" s="1"/>
      <c r="W244" s="1"/>
      <c r="X244" s="117"/>
    </row>
    <row r="245" spans="15:24" ht="10" customHeight="1">
      <c r="O245" s="1"/>
      <c r="P245" s="1"/>
      <c r="Q245" s="1"/>
      <c r="R245" s="1"/>
      <c r="S245" s="1"/>
      <c r="T245" s="1"/>
      <c r="U245" s="1"/>
      <c r="V245" s="1"/>
      <c r="W245" s="1"/>
      <c r="X245" s="117"/>
    </row>
    <row r="246" spans="15:24" ht="10" customHeight="1">
      <c r="O246" s="1"/>
      <c r="P246" s="1"/>
      <c r="Q246" s="1"/>
      <c r="R246" s="1"/>
      <c r="S246" s="1"/>
      <c r="T246" s="1"/>
      <c r="U246" s="1"/>
      <c r="V246" s="1"/>
      <c r="W246" s="1"/>
      <c r="X246" s="117"/>
    </row>
    <row r="247" spans="15:24" ht="10" customHeight="1">
      <c r="O247" s="1"/>
      <c r="P247" s="1"/>
      <c r="Q247" s="1"/>
      <c r="R247" s="1"/>
      <c r="S247" s="1"/>
      <c r="T247" s="1"/>
      <c r="U247" s="1"/>
      <c r="V247" s="1"/>
      <c r="W247" s="1"/>
      <c r="X247" s="117"/>
    </row>
    <row r="248" spans="15:24" ht="10" customHeight="1">
      <c r="O248" s="1"/>
      <c r="P248" s="1"/>
      <c r="Q248" s="1"/>
      <c r="R248" s="1"/>
      <c r="S248" s="1"/>
      <c r="T248" s="1"/>
      <c r="U248" s="1"/>
      <c r="V248" s="1"/>
      <c r="W248" s="1"/>
      <c r="X248" s="117"/>
    </row>
    <row r="249" spans="15:24" ht="10" customHeight="1">
      <c r="O249" s="1"/>
      <c r="P249" s="1"/>
      <c r="Q249" s="1"/>
      <c r="R249" s="1"/>
      <c r="S249" s="1"/>
      <c r="T249" s="1"/>
      <c r="U249" s="1"/>
      <c r="V249" s="1"/>
      <c r="W249" s="1"/>
      <c r="X249" s="117"/>
    </row>
    <row r="250" spans="15:24" ht="10" customHeight="1">
      <c r="O250" s="1"/>
      <c r="P250" s="1"/>
      <c r="Q250" s="1"/>
      <c r="R250" s="1"/>
      <c r="S250" s="1"/>
      <c r="T250" s="1"/>
      <c r="U250" s="1"/>
      <c r="V250" s="1"/>
      <c r="W250" s="1"/>
      <c r="X250" s="117"/>
    </row>
    <row r="251" spans="15:24" ht="10" customHeight="1">
      <c r="O251" s="1"/>
      <c r="P251" s="1"/>
      <c r="Q251" s="1"/>
      <c r="R251" s="1"/>
      <c r="S251" s="1"/>
      <c r="T251" s="1"/>
      <c r="U251" s="1"/>
      <c r="V251" s="1"/>
      <c r="W251" s="1"/>
      <c r="X251" s="117"/>
    </row>
    <row r="252" spans="15:24" ht="10" customHeight="1">
      <c r="O252" s="1"/>
      <c r="P252" s="1"/>
      <c r="Q252" s="1"/>
      <c r="R252" s="1"/>
      <c r="S252" s="1"/>
      <c r="T252" s="1"/>
      <c r="U252" s="1"/>
      <c r="V252" s="1"/>
      <c r="W252" s="1"/>
      <c r="X252" s="117"/>
    </row>
    <row r="253" spans="15:24" ht="10" customHeight="1">
      <c r="O253" s="1"/>
      <c r="P253" s="1"/>
      <c r="Q253" s="1"/>
      <c r="R253" s="1"/>
      <c r="S253" s="1"/>
      <c r="T253" s="1"/>
      <c r="U253" s="1"/>
      <c r="V253" s="1"/>
      <c r="W253" s="1"/>
      <c r="X253" s="117"/>
    </row>
    <row r="254" spans="15:24" ht="10" customHeight="1">
      <c r="O254" s="1"/>
      <c r="P254" s="1"/>
      <c r="Q254" s="1"/>
      <c r="R254" s="1"/>
      <c r="S254" s="1"/>
      <c r="T254" s="1"/>
      <c r="U254" s="1"/>
      <c r="V254" s="1"/>
      <c r="W254" s="1"/>
      <c r="X254" s="117"/>
    </row>
    <row r="255" spans="15:24" ht="10" customHeight="1">
      <c r="O255" s="1"/>
      <c r="P255" s="1"/>
      <c r="Q255" s="1"/>
      <c r="R255" s="1"/>
      <c r="S255" s="1"/>
      <c r="T255" s="1"/>
      <c r="U255" s="1"/>
      <c r="V255" s="1"/>
      <c r="W255" s="1"/>
      <c r="X255" s="117"/>
    </row>
    <row r="256" spans="15:24" ht="10" customHeight="1">
      <c r="O256" s="1"/>
      <c r="P256" s="1"/>
      <c r="Q256" s="1"/>
      <c r="R256" s="1"/>
      <c r="S256" s="1"/>
      <c r="T256" s="1"/>
      <c r="U256" s="1"/>
      <c r="V256" s="1"/>
      <c r="W256" s="1"/>
      <c r="X256" s="117"/>
    </row>
    <row r="257" spans="15:24" ht="10" customHeight="1">
      <c r="O257" s="1"/>
      <c r="P257" s="1"/>
      <c r="Q257" s="1"/>
      <c r="R257" s="1"/>
      <c r="S257" s="1"/>
      <c r="T257" s="1"/>
      <c r="U257" s="1"/>
      <c r="V257" s="1"/>
      <c r="W257" s="1"/>
      <c r="X257" s="117"/>
    </row>
    <row r="258" spans="15:24" ht="10" customHeight="1">
      <c r="O258" s="1"/>
      <c r="P258" s="1"/>
      <c r="Q258" s="1"/>
      <c r="R258" s="1"/>
      <c r="S258" s="1"/>
      <c r="T258" s="1"/>
      <c r="U258" s="1"/>
      <c r="V258" s="1"/>
      <c r="W258" s="1"/>
      <c r="X258" s="117"/>
    </row>
    <row r="259" spans="15:24" ht="10" customHeight="1">
      <c r="O259" s="1"/>
      <c r="P259" s="1"/>
      <c r="Q259" s="1"/>
      <c r="R259" s="1"/>
      <c r="S259" s="1"/>
      <c r="T259" s="1"/>
      <c r="U259" s="1"/>
      <c r="V259" s="1"/>
      <c r="W259" s="1"/>
      <c r="X259" s="117"/>
    </row>
    <row r="260" spans="15:24" ht="10" customHeight="1">
      <c r="O260" s="1"/>
      <c r="P260" s="1"/>
      <c r="Q260" s="1"/>
      <c r="R260" s="1"/>
      <c r="S260" s="1"/>
      <c r="T260" s="1"/>
      <c r="U260" s="1"/>
      <c r="V260" s="1"/>
      <c r="W260" s="1"/>
      <c r="X260" s="117"/>
    </row>
    <row r="261" spans="15:24" ht="10" customHeight="1">
      <c r="O261" s="1"/>
      <c r="P261" s="1"/>
      <c r="Q261" s="1"/>
      <c r="R261" s="1"/>
      <c r="S261" s="1"/>
      <c r="T261" s="1"/>
      <c r="U261" s="1"/>
      <c r="V261" s="1"/>
      <c r="W261" s="1"/>
      <c r="X261" s="117"/>
    </row>
    <row r="262" spans="15:24" ht="10" customHeight="1">
      <c r="O262" s="1"/>
      <c r="P262" s="1"/>
      <c r="Q262" s="1"/>
      <c r="R262" s="1"/>
      <c r="S262" s="1"/>
      <c r="T262" s="1"/>
      <c r="U262" s="1"/>
      <c r="V262" s="1"/>
      <c r="W262" s="1"/>
      <c r="X262" s="117"/>
    </row>
    <row r="263" spans="15:24" ht="10" customHeight="1">
      <c r="O263" s="1"/>
      <c r="P263" s="1"/>
      <c r="Q263" s="1"/>
      <c r="R263" s="1"/>
      <c r="S263" s="1"/>
      <c r="T263" s="1"/>
      <c r="U263" s="1"/>
      <c r="V263" s="1"/>
      <c r="W263" s="1"/>
      <c r="X263" s="117"/>
    </row>
    <row r="264" spans="15:24" ht="10" customHeight="1">
      <c r="O264" s="1"/>
      <c r="P264" s="1"/>
      <c r="Q264" s="1"/>
      <c r="R264" s="1"/>
      <c r="S264" s="1"/>
      <c r="T264" s="1"/>
      <c r="U264" s="1"/>
      <c r="V264" s="1"/>
      <c r="W264" s="1"/>
      <c r="X264" s="117"/>
    </row>
    <row r="265" spans="15:24" ht="10" customHeight="1">
      <c r="O265" s="1"/>
      <c r="P265" s="1"/>
      <c r="Q265" s="1"/>
      <c r="R265" s="1"/>
      <c r="S265" s="1"/>
      <c r="T265" s="1"/>
      <c r="U265" s="1"/>
      <c r="V265" s="1"/>
      <c r="W265" s="1"/>
      <c r="X265" s="117"/>
    </row>
    <row r="266" spans="15:24" ht="10" customHeight="1">
      <c r="O266" s="1"/>
      <c r="P266" s="1"/>
      <c r="Q266" s="1"/>
      <c r="R266" s="1"/>
      <c r="S266" s="1"/>
      <c r="T266" s="1"/>
      <c r="U266" s="1"/>
      <c r="V266" s="1"/>
      <c r="W266" s="1"/>
      <c r="X266" s="117"/>
    </row>
    <row r="267" spans="15:24" ht="10" customHeight="1">
      <c r="O267" s="1"/>
      <c r="P267" s="1"/>
      <c r="Q267" s="1"/>
      <c r="R267" s="1"/>
      <c r="S267" s="1"/>
      <c r="T267" s="1"/>
      <c r="U267" s="1"/>
      <c r="V267" s="1"/>
      <c r="W267" s="1"/>
      <c r="X267" s="117"/>
    </row>
    <row r="268" spans="15:24" ht="10" customHeight="1">
      <c r="O268" s="1"/>
      <c r="P268" s="1"/>
      <c r="Q268" s="1"/>
      <c r="R268" s="1"/>
      <c r="S268" s="1"/>
      <c r="T268" s="1"/>
      <c r="U268" s="1"/>
      <c r="V268" s="1"/>
      <c r="W268" s="1"/>
      <c r="X268" s="117"/>
    </row>
    <row r="269" spans="15:24" ht="10" customHeight="1">
      <c r="O269" s="1"/>
      <c r="P269" s="1"/>
      <c r="Q269" s="1"/>
      <c r="R269" s="1"/>
      <c r="S269" s="1"/>
      <c r="T269" s="1"/>
      <c r="U269" s="1"/>
      <c r="V269" s="1"/>
      <c r="W269" s="1"/>
      <c r="X269" s="117"/>
    </row>
    <row r="270" spans="15:24" ht="10" customHeight="1">
      <c r="O270" s="1"/>
      <c r="P270" s="1"/>
      <c r="Q270" s="1"/>
      <c r="R270" s="1"/>
      <c r="S270" s="1"/>
      <c r="T270" s="1"/>
      <c r="U270" s="1"/>
      <c r="V270" s="1"/>
      <c r="W270" s="1"/>
      <c r="X270" s="117"/>
    </row>
    <row r="271" spans="15:24" ht="10" customHeight="1">
      <c r="O271" s="1"/>
      <c r="P271" s="1"/>
      <c r="Q271" s="1"/>
      <c r="R271" s="1"/>
      <c r="S271" s="1"/>
      <c r="T271" s="1"/>
      <c r="U271" s="1"/>
      <c r="V271" s="1"/>
      <c r="W271" s="1"/>
      <c r="X271" s="117"/>
    </row>
    <row r="272" spans="15:24" ht="10" customHeight="1">
      <c r="O272" s="1"/>
      <c r="P272" s="1"/>
      <c r="Q272" s="1"/>
      <c r="R272" s="1"/>
      <c r="S272" s="1"/>
      <c r="T272" s="1"/>
      <c r="U272" s="1"/>
      <c r="V272" s="1"/>
      <c r="W272" s="1"/>
      <c r="X272" s="117"/>
    </row>
    <row r="273" spans="15:24" ht="10" customHeight="1">
      <c r="O273" s="1"/>
      <c r="P273" s="1"/>
      <c r="Q273" s="1"/>
      <c r="R273" s="1"/>
      <c r="S273" s="1"/>
      <c r="T273" s="1"/>
      <c r="U273" s="1"/>
      <c r="V273" s="1"/>
      <c r="W273" s="1"/>
      <c r="X273" s="117"/>
    </row>
    <row r="274" spans="15:24" ht="10" customHeight="1">
      <c r="O274" s="1"/>
      <c r="P274" s="1"/>
      <c r="Q274" s="1"/>
      <c r="R274" s="1"/>
      <c r="S274" s="1"/>
      <c r="T274" s="1"/>
      <c r="U274" s="1"/>
      <c r="V274" s="1"/>
      <c r="W274" s="1"/>
      <c r="X274" s="117"/>
    </row>
    <row r="275" spans="15:24" ht="10" customHeight="1">
      <c r="O275" s="1"/>
      <c r="P275" s="1"/>
      <c r="Q275" s="1"/>
      <c r="R275" s="1"/>
      <c r="S275" s="1"/>
      <c r="T275" s="1"/>
      <c r="U275" s="1"/>
      <c r="V275" s="1"/>
      <c r="W275" s="1"/>
      <c r="X275" s="117"/>
    </row>
    <row r="276" spans="15:24" ht="10" customHeight="1">
      <c r="O276" s="1"/>
      <c r="P276" s="1"/>
      <c r="Q276" s="1"/>
      <c r="R276" s="1"/>
      <c r="S276" s="1"/>
      <c r="T276" s="1"/>
      <c r="U276" s="1"/>
      <c r="V276" s="1"/>
      <c r="W276" s="1"/>
      <c r="X276" s="117"/>
    </row>
    <row r="277" spans="15:24" ht="10" customHeight="1">
      <c r="O277" s="1"/>
      <c r="P277" s="1"/>
      <c r="Q277" s="1"/>
      <c r="R277" s="1"/>
      <c r="S277" s="1"/>
      <c r="T277" s="1"/>
      <c r="U277" s="1"/>
      <c r="V277" s="1"/>
      <c r="W277" s="1"/>
      <c r="X277" s="117"/>
    </row>
    <row r="278" spans="15:24" ht="10" customHeight="1">
      <c r="O278" s="1"/>
      <c r="P278" s="1"/>
      <c r="Q278" s="1"/>
      <c r="R278" s="1"/>
      <c r="S278" s="1"/>
      <c r="T278" s="1"/>
      <c r="U278" s="1"/>
      <c r="V278" s="1"/>
      <c r="W278" s="1"/>
      <c r="X278" s="117"/>
    </row>
    <row r="279" spans="15:24" ht="10" customHeight="1">
      <c r="O279" s="1"/>
      <c r="P279" s="1"/>
      <c r="Q279" s="1"/>
      <c r="R279" s="1"/>
      <c r="S279" s="1"/>
      <c r="T279" s="1"/>
      <c r="U279" s="1"/>
      <c r="V279" s="1"/>
      <c r="W279" s="1"/>
      <c r="X279" s="117"/>
    </row>
    <row r="280" spans="15:24" ht="10" customHeight="1">
      <c r="O280" s="1"/>
      <c r="P280" s="1"/>
      <c r="Q280" s="1"/>
      <c r="R280" s="1"/>
      <c r="S280" s="1"/>
      <c r="T280" s="1"/>
      <c r="U280" s="1"/>
      <c r="V280" s="1"/>
      <c r="W280" s="1"/>
      <c r="X280" s="117"/>
    </row>
    <row r="281" spans="15:24" ht="10" customHeight="1">
      <c r="O281" s="1"/>
      <c r="P281" s="1"/>
      <c r="Q281" s="1"/>
      <c r="R281" s="1"/>
      <c r="S281" s="1"/>
      <c r="T281" s="1"/>
      <c r="U281" s="1"/>
      <c r="V281" s="1"/>
      <c r="W281" s="1"/>
      <c r="X281" s="117"/>
    </row>
    <row r="282" spans="15:24" ht="10" customHeight="1">
      <c r="O282" s="1"/>
      <c r="P282" s="1"/>
      <c r="Q282" s="1"/>
      <c r="R282" s="1"/>
      <c r="S282" s="1"/>
      <c r="T282" s="1"/>
      <c r="U282" s="1"/>
      <c r="V282" s="1"/>
      <c r="W282" s="1"/>
      <c r="X282" s="117"/>
    </row>
    <row r="283" spans="15:24" ht="10" customHeight="1">
      <c r="O283" s="1"/>
      <c r="P283" s="1"/>
      <c r="Q283" s="1"/>
      <c r="R283" s="1"/>
      <c r="S283" s="1"/>
      <c r="T283" s="1"/>
      <c r="U283" s="1"/>
      <c r="V283" s="1"/>
      <c r="W283" s="1"/>
      <c r="X283" s="117"/>
    </row>
    <row r="284" spans="15:24" ht="10" customHeight="1">
      <c r="O284" s="1"/>
      <c r="P284" s="1"/>
      <c r="Q284" s="1"/>
      <c r="R284" s="1"/>
      <c r="S284" s="1"/>
      <c r="T284" s="1"/>
      <c r="U284" s="1"/>
      <c r="V284" s="1"/>
      <c r="W284" s="1"/>
      <c r="X284" s="117"/>
    </row>
    <row r="285" spans="15:24" ht="10" customHeight="1">
      <c r="O285" s="1"/>
      <c r="P285" s="1"/>
      <c r="Q285" s="1"/>
      <c r="R285" s="1"/>
      <c r="S285" s="1"/>
      <c r="T285" s="1"/>
      <c r="U285" s="1"/>
      <c r="V285" s="1"/>
      <c r="W285" s="1"/>
      <c r="X285" s="117"/>
    </row>
    <row r="286" spans="15:24" ht="10" customHeight="1">
      <c r="O286" s="1"/>
      <c r="P286" s="1"/>
      <c r="Q286" s="1"/>
      <c r="R286" s="1"/>
      <c r="S286" s="1"/>
      <c r="T286" s="1"/>
      <c r="U286" s="1"/>
      <c r="V286" s="1"/>
      <c r="W286" s="1"/>
      <c r="X286" s="117"/>
    </row>
    <row r="287" spans="15:24" ht="10" customHeight="1">
      <c r="O287" s="1"/>
      <c r="P287" s="1"/>
      <c r="Q287" s="1"/>
      <c r="R287" s="1"/>
      <c r="S287" s="1"/>
      <c r="T287" s="1"/>
      <c r="U287" s="1"/>
      <c r="V287" s="1"/>
      <c r="W287" s="1"/>
      <c r="X287" s="117"/>
    </row>
    <row r="288" spans="15:24" ht="10" customHeight="1">
      <c r="O288" s="1"/>
      <c r="P288" s="1"/>
      <c r="Q288" s="1"/>
      <c r="R288" s="1"/>
      <c r="S288" s="1"/>
      <c r="T288" s="1"/>
      <c r="U288" s="1"/>
      <c r="V288" s="1"/>
      <c r="W288" s="1"/>
      <c r="X288" s="117"/>
    </row>
    <row r="289" spans="15:24" ht="10" customHeight="1">
      <c r="O289" s="1"/>
      <c r="P289" s="1"/>
      <c r="Q289" s="1"/>
      <c r="R289" s="1"/>
      <c r="S289" s="1"/>
      <c r="T289" s="1"/>
      <c r="U289" s="1"/>
      <c r="V289" s="1"/>
      <c r="W289" s="1"/>
      <c r="X289" s="117"/>
    </row>
    <row r="290" spans="15:24" ht="10" customHeight="1">
      <c r="O290" s="1"/>
      <c r="P290" s="1"/>
      <c r="Q290" s="1"/>
      <c r="R290" s="1"/>
      <c r="S290" s="1"/>
      <c r="T290" s="1"/>
      <c r="U290" s="1"/>
      <c r="V290" s="1"/>
      <c r="W290" s="1"/>
      <c r="X290" s="117"/>
    </row>
    <row r="291" spans="15:24" ht="10" customHeight="1">
      <c r="O291" s="1"/>
      <c r="P291" s="1"/>
      <c r="Q291" s="1"/>
      <c r="R291" s="1"/>
      <c r="S291" s="1"/>
      <c r="T291" s="1"/>
      <c r="U291" s="1"/>
      <c r="V291" s="1"/>
      <c r="W291" s="1"/>
      <c r="X291" s="117"/>
    </row>
    <row r="292" spans="15:24" ht="10" customHeight="1">
      <c r="O292" s="1"/>
      <c r="P292" s="1"/>
      <c r="Q292" s="1"/>
      <c r="R292" s="1"/>
      <c r="S292" s="1"/>
      <c r="T292" s="1"/>
      <c r="U292" s="1"/>
      <c r="V292" s="1"/>
      <c r="W292" s="1"/>
      <c r="X292" s="117"/>
    </row>
    <row r="293" spans="15:24" ht="10" customHeight="1">
      <c r="O293" s="1"/>
      <c r="P293" s="1"/>
      <c r="Q293" s="1"/>
      <c r="R293" s="1"/>
      <c r="S293" s="1"/>
      <c r="T293" s="1"/>
      <c r="U293" s="1"/>
      <c r="V293" s="1"/>
      <c r="W293" s="1"/>
      <c r="X293" s="117"/>
    </row>
    <row r="294" spans="15:24" ht="10" customHeight="1">
      <c r="O294" s="1"/>
      <c r="P294" s="1"/>
      <c r="Q294" s="1"/>
      <c r="R294" s="1"/>
      <c r="S294" s="1"/>
      <c r="T294" s="1"/>
      <c r="U294" s="1"/>
      <c r="V294" s="1"/>
      <c r="W294" s="1"/>
      <c r="X294" s="117"/>
    </row>
    <row r="295" spans="15:24" ht="10" customHeight="1">
      <c r="O295" s="1"/>
      <c r="P295" s="1"/>
      <c r="Q295" s="1"/>
      <c r="R295" s="1"/>
      <c r="S295" s="1"/>
      <c r="T295" s="1"/>
      <c r="U295" s="1"/>
      <c r="V295" s="1"/>
      <c r="W295" s="1"/>
      <c r="X295" s="117"/>
    </row>
    <row r="296" spans="15:24" ht="10" customHeight="1">
      <c r="O296" s="1"/>
      <c r="P296" s="1"/>
      <c r="Q296" s="1"/>
      <c r="R296" s="1"/>
      <c r="S296" s="1"/>
      <c r="T296" s="1"/>
      <c r="U296" s="1"/>
      <c r="V296" s="1"/>
      <c r="W296" s="1"/>
      <c r="X296" s="117"/>
    </row>
    <row r="297" spans="15:24" ht="10" customHeight="1">
      <c r="O297" s="1"/>
      <c r="P297" s="1"/>
      <c r="Q297" s="1"/>
      <c r="R297" s="1"/>
      <c r="S297" s="1"/>
      <c r="T297" s="1"/>
      <c r="U297" s="1"/>
      <c r="V297" s="1"/>
      <c r="W297" s="1"/>
      <c r="X297" s="117"/>
    </row>
    <row r="298" spans="15:24" ht="10" customHeight="1">
      <c r="O298" s="1"/>
      <c r="P298" s="1"/>
      <c r="Q298" s="1"/>
      <c r="R298" s="1"/>
      <c r="S298" s="1"/>
      <c r="T298" s="1"/>
      <c r="U298" s="1"/>
      <c r="V298" s="1"/>
      <c r="W298" s="1"/>
      <c r="X298" s="117"/>
    </row>
    <row r="299" spans="15:24" ht="10" customHeight="1">
      <c r="O299" s="1"/>
      <c r="P299" s="1"/>
      <c r="Q299" s="1"/>
      <c r="R299" s="1"/>
      <c r="S299" s="1"/>
      <c r="T299" s="1"/>
      <c r="U299" s="1"/>
      <c r="V299" s="1"/>
      <c r="W299" s="1"/>
      <c r="X299" s="117"/>
    </row>
    <row r="300" spans="15:24" ht="10" customHeight="1">
      <c r="O300" s="1"/>
      <c r="P300" s="1"/>
      <c r="Q300" s="1"/>
      <c r="R300" s="1"/>
      <c r="S300" s="1"/>
      <c r="T300" s="1"/>
      <c r="U300" s="1"/>
      <c r="V300" s="1"/>
      <c r="W300" s="1"/>
      <c r="X300" s="117"/>
    </row>
    <row r="301" spans="15:24" ht="10" customHeight="1">
      <c r="O301" s="1"/>
      <c r="P301" s="1"/>
      <c r="Q301" s="1"/>
      <c r="R301" s="1"/>
      <c r="S301" s="1"/>
      <c r="T301" s="1"/>
      <c r="U301" s="1"/>
      <c r="V301" s="1"/>
      <c r="W301" s="1"/>
      <c r="X301" s="117"/>
    </row>
    <row r="302" spans="15:24" ht="10" customHeight="1">
      <c r="O302" s="1"/>
      <c r="P302" s="1"/>
      <c r="Q302" s="1"/>
      <c r="R302" s="1"/>
      <c r="S302" s="1"/>
      <c r="T302" s="1"/>
      <c r="U302" s="1"/>
      <c r="V302" s="1"/>
      <c r="W302" s="1"/>
      <c r="X302" s="117"/>
    </row>
    <row r="303" spans="15:24" ht="10" customHeight="1">
      <c r="O303" s="1"/>
      <c r="P303" s="1"/>
      <c r="Q303" s="1"/>
      <c r="R303" s="1"/>
      <c r="S303" s="1"/>
      <c r="T303" s="1"/>
      <c r="U303" s="1"/>
      <c r="V303" s="1"/>
      <c r="W303" s="1"/>
      <c r="X303" s="117"/>
    </row>
    <row r="304" spans="15:24" ht="10" customHeight="1">
      <c r="O304" s="1"/>
      <c r="P304" s="1"/>
      <c r="Q304" s="1"/>
      <c r="R304" s="1"/>
      <c r="S304" s="1"/>
      <c r="T304" s="1"/>
      <c r="U304" s="1"/>
      <c r="V304" s="1"/>
      <c r="W304" s="1"/>
      <c r="X304" s="117"/>
    </row>
    <row r="305" spans="15:24" ht="10" customHeight="1">
      <c r="O305" s="1"/>
      <c r="P305" s="1"/>
      <c r="Q305" s="1"/>
      <c r="R305" s="1"/>
      <c r="S305" s="1"/>
      <c r="T305" s="1"/>
      <c r="U305" s="1"/>
      <c r="V305" s="1"/>
      <c r="W305" s="1"/>
      <c r="X305" s="117"/>
    </row>
    <row r="306" spans="15:24" ht="10" customHeight="1">
      <c r="O306" s="1"/>
      <c r="P306" s="1"/>
      <c r="Q306" s="1"/>
      <c r="R306" s="1"/>
      <c r="S306" s="1"/>
      <c r="T306" s="1"/>
      <c r="U306" s="1"/>
      <c r="V306" s="1"/>
      <c r="W306" s="1"/>
      <c r="X306" s="117"/>
    </row>
    <row r="307" spans="15:24" ht="10" customHeight="1">
      <c r="O307" s="1"/>
      <c r="P307" s="1"/>
      <c r="Q307" s="1"/>
      <c r="R307" s="1"/>
      <c r="S307" s="1"/>
      <c r="T307" s="1"/>
      <c r="U307" s="1"/>
      <c r="V307" s="1"/>
      <c r="W307" s="1"/>
      <c r="X307" s="117"/>
    </row>
    <row r="308" spans="15:24" ht="10" customHeight="1">
      <c r="O308" s="1"/>
      <c r="P308" s="1"/>
      <c r="Q308" s="1"/>
      <c r="R308" s="1"/>
      <c r="S308" s="1"/>
      <c r="T308" s="1"/>
      <c r="U308" s="1"/>
      <c r="V308" s="1"/>
      <c r="W308" s="1"/>
      <c r="X308" s="117"/>
    </row>
    <row r="309" spans="15:24" ht="10" customHeight="1">
      <c r="O309" s="1"/>
      <c r="P309" s="1"/>
      <c r="Q309" s="1"/>
      <c r="R309" s="1"/>
      <c r="S309" s="1"/>
      <c r="T309" s="1"/>
      <c r="U309" s="1"/>
      <c r="V309" s="1"/>
      <c r="W309" s="1"/>
      <c r="X309" s="117"/>
    </row>
    <row r="310" spans="15:24" ht="10" customHeight="1">
      <c r="O310" s="1"/>
      <c r="P310" s="1"/>
      <c r="Q310" s="1"/>
      <c r="R310" s="1"/>
      <c r="S310" s="1"/>
      <c r="T310" s="1"/>
      <c r="U310" s="1"/>
      <c r="V310" s="1"/>
      <c r="W310" s="1"/>
      <c r="X310" s="117"/>
    </row>
    <row r="311" spans="15:24" ht="10" customHeight="1">
      <c r="O311" s="1"/>
      <c r="P311" s="1"/>
      <c r="Q311" s="1"/>
      <c r="R311" s="1"/>
      <c r="S311" s="1"/>
      <c r="T311" s="1"/>
      <c r="U311" s="1"/>
      <c r="V311" s="1"/>
      <c r="W311" s="1"/>
      <c r="X311" s="117"/>
    </row>
    <row r="312" spans="15:24" ht="10" customHeight="1">
      <c r="O312" s="1"/>
      <c r="P312" s="1"/>
      <c r="Q312" s="1"/>
      <c r="R312" s="1"/>
      <c r="S312" s="1"/>
      <c r="T312" s="1"/>
      <c r="U312" s="1"/>
      <c r="V312" s="1"/>
      <c r="W312" s="1"/>
      <c r="X312" s="117"/>
    </row>
    <row r="313" spans="15:24" ht="10" customHeight="1">
      <c r="O313" s="1"/>
      <c r="P313" s="1"/>
      <c r="Q313" s="1"/>
      <c r="R313" s="1"/>
      <c r="S313" s="1"/>
      <c r="T313" s="1"/>
      <c r="U313" s="1"/>
      <c r="V313" s="1"/>
      <c r="W313" s="1"/>
      <c r="X313" s="117"/>
    </row>
    <row r="314" spans="15:24" ht="10" customHeight="1">
      <c r="O314" s="1"/>
      <c r="P314" s="1"/>
      <c r="Q314" s="1"/>
      <c r="R314" s="1"/>
      <c r="S314" s="1"/>
      <c r="T314" s="1"/>
      <c r="U314" s="1"/>
      <c r="V314" s="1"/>
      <c r="W314" s="1"/>
      <c r="X314" s="117"/>
    </row>
    <row r="315" spans="15:24" ht="10" customHeight="1">
      <c r="O315" s="1"/>
      <c r="P315" s="1"/>
      <c r="Q315" s="1"/>
      <c r="R315" s="1"/>
      <c r="S315" s="1"/>
      <c r="T315" s="1"/>
      <c r="U315" s="1"/>
      <c r="V315" s="1"/>
      <c r="W315" s="1"/>
      <c r="X315" s="117"/>
    </row>
    <row r="316" spans="15:24" ht="10" customHeight="1">
      <c r="O316" s="1"/>
      <c r="P316" s="1"/>
      <c r="Q316" s="1"/>
      <c r="R316" s="1"/>
      <c r="S316" s="1"/>
      <c r="T316" s="1"/>
      <c r="U316" s="1"/>
      <c r="V316" s="1"/>
      <c r="W316" s="1"/>
      <c r="X316" s="117"/>
    </row>
    <row r="317" spans="15:24" ht="10" customHeight="1">
      <c r="O317" s="1"/>
      <c r="P317" s="1"/>
      <c r="Q317" s="1"/>
      <c r="R317" s="1"/>
      <c r="S317" s="1"/>
      <c r="T317" s="1"/>
      <c r="U317" s="1"/>
      <c r="V317" s="1"/>
      <c r="W317" s="1"/>
      <c r="X317" s="117"/>
    </row>
    <row r="318" spans="15:24" ht="10" customHeight="1">
      <c r="O318" s="1"/>
      <c r="P318" s="1"/>
      <c r="Q318" s="1"/>
      <c r="R318" s="1"/>
      <c r="S318" s="1"/>
      <c r="T318" s="1"/>
      <c r="U318" s="1"/>
      <c r="V318" s="1"/>
      <c r="W318" s="1"/>
      <c r="X318" s="117"/>
    </row>
    <row r="319" spans="15:24" ht="10" customHeight="1">
      <c r="O319" s="1"/>
      <c r="P319" s="1"/>
      <c r="Q319" s="1"/>
      <c r="R319" s="1"/>
      <c r="S319" s="1"/>
      <c r="T319" s="1"/>
      <c r="U319" s="1"/>
      <c r="V319" s="1"/>
      <c r="W319" s="1"/>
      <c r="X319" s="117"/>
    </row>
    <row r="320" spans="15:24" ht="10" customHeight="1">
      <c r="O320" s="1"/>
      <c r="P320" s="1"/>
      <c r="Q320" s="1"/>
      <c r="R320" s="1"/>
      <c r="S320" s="1"/>
      <c r="T320" s="1"/>
      <c r="U320" s="1"/>
      <c r="V320" s="1"/>
      <c r="W320" s="1"/>
      <c r="X320" s="117"/>
    </row>
    <row r="321" spans="15:24" ht="10" customHeight="1">
      <c r="O321" s="1"/>
      <c r="P321" s="1"/>
      <c r="Q321" s="1"/>
      <c r="R321" s="1"/>
      <c r="S321" s="1"/>
      <c r="T321" s="1"/>
      <c r="U321" s="1"/>
      <c r="V321" s="1"/>
      <c r="W321" s="1"/>
      <c r="X321" s="117"/>
    </row>
    <row r="322" spans="15:24" ht="10" customHeight="1">
      <c r="O322" s="1"/>
      <c r="P322" s="1"/>
      <c r="Q322" s="1"/>
      <c r="R322" s="1"/>
      <c r="S322" s="1"/>
      <c r="T322" s="1"/>
      <c r="U322" s="1"/>
      <c r="V322" s="1"/>
      <c r="W322" s="1"/>
      <c r="X322" s="117"/>
    </row>
    <row r="323" spans="15:24" ht="10" customHeight="1">
      <c r="O323" s="1"/>
      <c r="P323" s="1"/>
      <c r="Q323" s="1"/>
      <c r="R323" s="1"/>
      <c r="S323" s="1"/>
      <c r="T323" s="1"/>
      <c r="U323" s="1"/>
      <c r="V323" s="1"/>
      <c r="W323" s="1"/>
      <c r="X323" s="117"/>
    </row>
    <row r="324" spans="15:24" ht="10" customHeight="1">
      <c r="O324" s="1"/>
      <c r="P324" s="1"/>
      <c r="Q324" s="1"/>
      <c r="R324" s="1"/>
      <c r="S324" s="1"/>
      <c r="T324" s="1"/>
      <c r="U324" s="1"/>
      <c r="V324" s="1"/>
      <c r="W324" s="1"/>
      <c r="X324" s="117"/>
    </row>
    <row r="325" spans="15:24" ht="10" customHeight="1">
      <c r="O325" s="1"/>
      <c r="P325" s="1"/>
      <c r="Q325" s="1"/>
      <c r="R325" s="1"/>
      <c r="S325" s="1"/>
      <c r="T325" s="1"/>
      <c r="U325" s="1"/>
      <c r="V325" s="1"/>
      <c r="W325" s="1"/>
      <c r="X325" s="117"/>
    </row>
    <row r="326" spans="15:24" ht="10" customHeight="1">
      <c r="O326" s="1"/>
      <c r="P326" s="1"/>
      <c r="Q326" s="1"/>
      <c r="R326" s="1"/>
      <c r="S326" s="1"/>
      <c r="T326" s="1"/>
      <c r="U326" s="1"/>
      <c r="V326" s="1"/>
      <c r="W326" s="1"/>
      <c r="X326" s="117"/>
    </row>
    <row r="327" spans="15:24" ht="10" customHeight="1">
      <c r="O327" s="1"/>
      <c r="P327" s="1"/>
      <c r="Q327" s="1"/>
      <c r="R327" s="1"/>
      <c r="S327" s="1"/>
      <c r="T327" s="1"/>
      <c r="U327" s="1"/>
      <c r="V327" s="1"/>
      <c r="W327" s="1"/>
      <c r="X327" s="117"/>
    </row>
    <row r="328" spans="15:24" ht="10" customHeight="1">
      <c r="O328" s="1"/>
      <c r="P328" s="1"/>
      <c r="Q328" s="1"/>
      <c r="R328" s="1"/>
      <c r="S328" s="1"/>
      <c r="T328" s="1"/>
      <c r="U328" s="1"/>
      <c r="V328" s="1"/>
      <c r="W328" s="1"/>
      <c r="X328" s="117"/>
    </row>
    <row r="329" spans="15:24" ht="10" customHeight="1">
      <c r="O329" s="1"/>
      <c r="P329" s="1"/>
      <c r="Q329" s="1"/>
      <c r="R329" s="1"/>
      <c r="S329" s="1"/>
      <c r="T329" s="1"/>
      <c r="U329" s="1"/>
      <c r="V329" s="1"/>
      <c r="W329" s="1"/>
      <c r="X329" s="117"/>
    </row>
    <row r="330" spans="15:24" ht="10" customHeight="1">
      <c r="O330" s="1"/>
      <c r="P330" s="1"/>
      <c r="Q330" s="1"/>
      <c r="R330" s="1"/>
      <c r="S330" s="1"/>
      <c r="T330" s="1"/>
      <c r="U330" s="1"/>
      <c r="V330" s="1"/>
      <c r="W330" s="1"/>
      <c r="X330" s="117"/>
    </row>
    <row r="331" spans="15:24" ht="10" customHeight="1">
      <c r="O331" s="1"/>
      <c r="P331" s="1"/>
      <c r="Q331" s="1"/>
      <c r="R331" s="1"/>
      <c r="S331" s="1"/>
      <c r="T331" s="1"/>
      <c r="U331" s="1"/>
      <c r="V331" s="1"/>
      <c r="W331" s="1"/>
      <c r="X331" s="117"/>
    </row>
    <row r="332" spans="15:24" ht="10" customHeight="1">
      <c r="O332" s="1"/>
      <c r="P332" s="1"/>
      <c r="Q332" s="1"/>
      <c r="R332" s="1"/>
      <c r="S332" s="1"/>
      <c r="T332" s="1"/>
      <c r="U332" s="1"/>
      <c r="V332" s="1"/>
      <c r="W332" s="1"/>
      <c r="X332" s="117"/>
    </row>
    <row r="333" spans="15:24" ht="10" customHeight="1">
      <c r="O333" s="1"/>
      <c r="P333" s="1"/>
      <c r="Q333" s="1"/>
      <c r="R333" s="1"/>
      <c r="S333" s="1"/>
      <c r="T333" s="1"/>
      <c r="U333" s="1"/>
      <c r="V333" s="1"/>
      <c r="W333" s="1"/>
      <c r="X333" s="117"/>
    </row>
    <row r="334" spans="15:24" ht="10" customHeight="1">
      <c r="O334" s="1"/>
      <c r="P334" s="1"/>
      <c r="Q334" s="1"/>
      <c r="R334" s="1"/>
      <c r="S334" s="1"/>
      <c r="T334" s="1"/>
      <c r="U334" s="1"/>
      <c r="V334" s="1"/>
      <c r="W334" s="1"/>
      <c r="X334" s="117"/>
    </row>
    <row r="335" spans="15:24" ht="10" customHeight="1">
      <c r="O335" s="1"/>
      <c r="P335" s="1"/>
      <c r="Q335" s="1"/>
      <c r="R335" s="1"/>
      <c r="S335" s="1"/>
      <c r="T335" s="1"/>
      <c r="U335" s="1"/>
      <c r="V335" s="1"/>
      <c r="W335" s="1"/>
      <c r="X335" s="117"/>
    </row>
    <row r="336" spans="15:24" ht="10" customHeight="1">
      <c r="O336" s="1"/>
      <c r="P336" s="1"/>
      <c r="Q336" s="1"/>
      <c r="R336" s="1"/>
      <c r="S336" s="1"/>
      <c r="T336" s="1"/>
      <c r="U336" s="1"/>
      <c r="V336" s="1"/>
      <c r="W336" s="1"/>
      <c r="X336" s="117"/>
    </row>
    <row r="337" spans="15:24" ht="10" customHeight="1">
      <c r="O337" s="1"/>
      <c r="P337" s="1"/>
      <c r="Q337" s="1"/>
      <c r="R337" s="1"/>
      <c r="S337" s="1"/>
      <c r="T337" s="1"/>
      <c r="U337" s="1"/>
      <c r="V337" s="1"/>
      <c r="W337" s="1"/>
      <c r="X337" s="117"/>
    </row>
    <row r="338" spans="15:24" ht="10" customHeight="1">
      <c r="O338" s="1"/>
      <c r="P338" s="1"/>
      <c r="Q338" s="1"/>
      <c r="R338" s="1"/>
      <c r="S338" s="1"/>
      <c r="T338" s="1"/>
      <c r="U338" s="1"/>
      <c r="V338" s="1"/>
      <c r="W338" s="1"/>
      <c r="X338" s="117"/>
    </row>
    <row r="339" spans="15:24" ht="10" customHeight="1">
      <c r="O339" s="1"/>
      <c r="P339" s="1"/>
      <c r="Q339" s="1"/>
      <c r="R339" s="1"/>
      <c r="S339" s="1"/>
      <c r="T339" s="1"/>
      <c r="U339" s="1"/>
      <c r="V339" s="1"/>
      <c r="W339" s="1"/>
      <c r="X339" s="117"/>
    </row>
    <row r="340" spans="15:24" ht="10" customHeight="1">
      <c r="O340" s="1"/>
      <c r="P340" s="1"/>
      <c r="Q340" s="1"/>
      <c r="R340" s="1"/>
      <c r="S340" s="1"/>
      <c r="T340" s="1"/>
      <c r="U340" s="1"/>
      <c r="V340" s="1"/>
      <c r="W340" s="1"/>
      <c r="X340" s="117"/>
    </row>
    <row r="341" spans="15:24" ht="10" customHeight="1">
      <c r="O341" s="1"/>
      <c r="P341" s="1"/>
      <c r="Q341" s="1"/>
      <c r="R341" s="1"/>
      <c r="S341" s="1"/>
      <c r="T341" s="1"/>
      <c r="U341" s="1"/>
      <c r="V341" s="1"/>
      <c r="W341" s="1"/>
      <c r="X341" s="117"/>
    </row>
    <row r="342" spans="15:24" ht="10" customHeight="1">
      <c r="O342" s="1"/>
      <c r="P342" s="1"/>
      <c r="Q342" s="1"/>
      <c r="R342" s="1"/>
      <c r="S342" s="1"/>
      <c r="T342" s="1"/>
      <c r="U342" s="1"/>
      <c r="V342" s="1"/>
      <c r="W342" s="1"/>
      <c r="X342" s="117"/>
    </row>
    <row r="343" spans="15:24" ht="10" customHeight="1">
      <c r="O343" s="1"/>
      <c r="P343" s="1"/>
      <c r="Q343" s="1"/>
      <c r="R343" s="1"/>
      <c r="S343" s="1"/>
      <c r="T343" s="1"/>
      <c r="U343" s="1"/>
      <c r="V343" s="1"/>
      <c r="W343" s="1"/>
      <c r="X343" s="117"/>
    </row>
    <row r="344" spans="15:24" ht="10" customHeight="1">
      <c r="O344" s="1"/>
      <c r="P344" s="1"/>
      <c r="Q344" s="1"/>
      <c r="R344" s="1"/>
      <c r="S344" s="1"/>
      <c r="T344" s="1"/>
      <c r="U344" s="1"/>
      <c r="V344" s="1"/>
      <c r="W344" s="1"/>
      <c r="X344" s="117"/>
    </row>
    <row r="345" spans="15:24" ht="10" customHeight="1">
      <c r="O345" s="1"/>
      <c r="P345" s="1"/>
      <c r="Q345" s="1"/>
      <c r="R345" s="1"/>
      <c r="S345" s="1"/>
      <c r="T345" s="1"/>
      <c r="U345" s="1"/>
      <c r="V345" s="1"/>
      <c r="W345" s="1"/>
      <c r="X345" s="117"/>
    </row>
    <row r="346" spans="15:24" ht="10" customHeight="1">
      <c r="O346" s="1"/>
      <c r="P346" s="1"/>
      <c r="Q346" s="1"/>
      <c r="R346" s="1"/>
      <c r="S346" s="1"/>
      <c r="T346" s="1"/>
      <c r="U346" s="1"/>
      <c r="V346" s="1"/>
      <c r="W346" s="1"/>
      <c r="X346" s="117"/>
    </row>
    <row r="347" spans="15:24" ht="10" customHeight="1">
      <c r="O347" s="1"/>
      <c r="P347" s="1"/>
      <c r="Q347" s="1"/>
      <c r="R347" s="1"/>
      <c r="S347" s="1"/>
      <c r="T347" s="1"/>
      <c r="U347" s="1"/>
      <c r="V347" s="1"/>
      <c r="W347" s="1"/>
      <c r="X347" s="117"/>
    </row>
    <row r="348" spans="15:24" ht="10" customHeight="1">
      <c r="O348" s="1"/>
      <c r="P348" s="1"/>
      <c r="Q348" s="1"/>
      <c r="R348" s="1"/>
      <c r="S348" s="1"/>
      <c r="T348" s="1"/>
      <c r="U348" s="1"/>
      <c r="V348" s="1"/>
      <c r="W348" s="1"/>
      <c r="X348" s="117"/>
    </row>
    <row r="349" spans="15:24" ht="10" customHeight="1">
      <c r="O349" s="1"/>
      <c r="P349" s="1"/>
      <c r="Q349" s="1"/>
      <c r="R349" s="1"/>
      <c r="S349" s="1"/>
      <c r="T349" s="1"/>
      <c r="U349" s="1"/>
      <c r="V349" s="1"/>
      <c r="W349" s="1"/>
      <c r="X349" s="117"/>
    </row>
    <row r="350" spans="15:24" ht="10" customHeight="1">
      <c r="O350" s="1"/>
      <c r="P350" s="1"/>
      <c r="Q350" s="1"/>
      <c r="R350" s="1"/>
      <c r="S350" s="1"/>
      <c r="T350" s="1"/>
      <c r="U350" s="1"/>
      <c r="V350" s="1"/>
      <c r="W350" s="1"/>
      <c r="X350" s="117"/>
    </row>
    <row r="351" spans="15:24" ht="10" customHeight="1">
      <c r="O351" s="1"/>
      <c r="P351" s="1"/>
      <c r="Q351" s="1"/>
      <c r="R351" s="1"/>
      <c r="S351" s="1"/>
      <c r="T351" s="1"/>
      <c r="U351" s="1"/>
      <c r="V351" s="1"/>
      <c r="W351" s="1"/>
      <c r="X351" s="117"/>
    </row>
    <row r="352" spans="15:24" ht="10" customHeight="1">
      <c r="O352" s="1"/>
      <c r="P352" s="1"/>
      <c r="Q352" s="1"/>
      <c r="R352" s="1"/>
      <c r="S352" s="1"/>
      <c r="T352" s="1"/>
      <c r="U352" s="1"/>
      <c r="V352" s="1"/>
      <c r="W352" s="1"/>
      <c r="X352" s="117"/>
    </row>
    <row r="353" spans="15:24" ht="10" customHeight="1">
      <c r="O353" s="1"/>
      <c r="P353" s="1"/>
      <c r="Q353" s="1"/>
      <c r="R353" s="1"/>
      <c r="S353" s="1"/>
      <c r="T353" s="1"/>
      <c r="U353" s="1"/>
      <c r="V353" s="1"/>
      <c r="W353" s="1"/>
      <c r="X353" s="117"/>
    </row>
    <row r="354" spans="15:24" ht="10" customHeight="1">
      <c r="O354" s="1"/>
      <c r="P354" s="1"/>
      <c r="Q354" s="1"/>
      <c r="R354" s="1"/>
      <c r="S354" s="1"/>
      <c r="T354" s="1"/>
      <c r="U354" s="1"/>
      <c r="V354" s="1"/>
      <c r="W354" s="1"/>
      <c r="X354" s="117"/>
    </row>
    <row r="355" spans="15:24" ht="10" customHeight="1">
      <c r="O355" s="1"/>
      <c r="P355" s="1"/>
      <c r="Q355" s="1"/>
      <c r="R355" s="1"/>
      <c r="S355" s="1"/>
      <c r="T355" s="1"/>
      <c r="U355" s="1"/>
      <c r="V355" s="1"/>
      <c r="W355" s="1"/>
      <c r="X355" s="117"/>
    </row>
    <row r="356" spans="15:24" ht="10" customHeight="1">
      <c r="O356" s="1"/>
      <c r="P356" s="1"/>
      <c r="Q356" s="1"/>
      <c r="R356" s="1"/>
      <c r="S356" s="1"/>
      <c r="T356" s="1"/>
      <c r="U356" s="1"/>
      <c r="V356" s="1"/>
      <c r="W356" s="1"/>
      <c r="X356" s="117"/>
    </row>
    <row r="357" spans="15:24" ht="10" customHeight="1">
      <c r="O357" s="1"/>
      <c r="P357" s="1"/>
      <c r="Q357" s="1"/>
      <c r="R357" s="1"/>
      <c r="S357" s="1"/>
      <c r="T357" s="1"/>
      <c r="U357" s="1"/>
      <c r="V357" s="1"/>
      <c r="W357" s="1"/>
      <c r="X357" s="117"/>
    </row>
    <row r="358" spans="15:24" ht="10" customHeight="1">
      <c r="O358" s="1"/>
      <c r="P358" s="1"/>
      <c r="Q358" s="1"/>
      <c r="R358" s="1"/>
      <c r="S358" s="1"/>
      <c r="T358" s="1"/>
      <c r="U358" s="1"/>
      <c r="V358" s="1"/>
      <c r="W358" s="1"/>
      <c r="X358" s="117"/>
    </row>
    <row r="359" spans="15:24" ht="10" customHeight="1">
      <c r="O359" s="1"/>
      <c r="P359" s="1"/>
      <c r="Q359" s="1"/>
      <c r="R359" s="1"/>
      <c r="S359" s="1"/>
      <c r="T359" s="1"/>
      <c r="U359" s="1"/>
      <c r="V359" s="1"/>
      <c r="W359" s="1"/>
      <c r="X359" s="117"/>
    </row>
    <row r="360" spans="15:24" ht="10" customHeight="1">
      <c r="O360" s="1"/>
      <c r="P360" s="1"/>
      <c r="Q360" s="1"/>
      <c r="R360" s="1"/>
      <c r="S360" s="1"/>
      <c r="T360" s="1"/>
      <c r="U360" s="1"/>
      <c r="V360" s="1"/>
      <c r="W360" s="1"/>
      <c r="X360" s="117"/>
    </row>
    <row r="361" spans="15:24" ht="10" customHeight="1">
      <c r="O361" s="1"/>
      <c r="P361" s="1"/>
      <c r="Q361" s="1"/>
      <c r="R361" s="1"/>
      <c r="S361" s="1"/>
      <c r="T361" s="1"/>
      <c r="U361" s="1"/>
      <c r="V361" s="1"/>
      <c r="W361" s="1"/>
      <c r="X361" s="117"/>
    </row>
    <row r="362" spans="15:24" ht="10" customHeight="1">
      <c r="O362" s="1"/>
      <c r="P362" s="1"/>
      <c r="Q362" s="1"/>
      <c r="R362" s="1"/>
      <c r="S362" s="1"/>
      <c r="T362" s="1"/>
      <c r="U362" s="1"/>
      <c r="V362" s="1"/>
      <c r="W362" s="1"/>
      <c r="X362" s="117"/>
    </row>
    <row r="363" spans="15:24" ht="10" customHeight="1">
      <c r="O363" s="1"/>
      <c r="P363" s="1"/>
      <c r="Q363" s="1"/>
      <c r="R363" s="1"/>
      <c r="S363" s="1"/>
      <c r="T363" s="1"/>
      <c r="U363" s="1"/>
      <c r="V363" s="1"/>
      <c r="W363" s="1"/>
      <c r="X363" s="117"/>
    </row>
    <row r="364" spans="15:24" ht="10" customHeight="1">
      <c r="O364" s="1"/>
      <c r="P364" s="1"/>
      <c r="Q364" s="1"/>
      <c r="R364" s="1"/>
      <c r="S364" s="1"/>
      <c r="T364" s="1"/>
      <c r="U364" s="1"/>
      <c r="V364" s="1"/>
      <c r="W364" s="1"/>
      <c r="X364" s="117"/>
    </row>
    <row r="365" spans="15:24" ht="10" customHeight="1">
      <c r="O365" s="1"/>
      <c r="P365" s="1"/>
      <c r="Q365" s="1"/>
      <c r="R365" s="1"/>
      <c r="S365" s="1"/>
      <c r="T365" s="1"/>
      <c r="U365" s="1"/>
      <c r="V365" s="1"/>
      <c r="W365" s="1"/>
      <c r="X365" s="117"/>
    </row>
    <row r="366" spans="15:24" ht="10" customHeight="1">
      <c r="O366" s="1"/>
      <c r="P366" s="1"/>
      <c r="Q366" s="1"/>
      <c r="R366" s="1"/>
      <c r="S366" s="1"/>
      <c r="T366" s="1"/>
      <c r="U366" s="1"/>
      <c r="V366" s="1"/>
      <c r="W366" s="1"/>
      <c r="X366" s="117"/>
    </row>
    <row r="367" spans="15:24" ht="10" customHeight="1">
      <c r="O367" s="1"/>
      <c r="P367" s="1"/>
      <c r="Q367" s="1"/>
      <c r="R367" s="1"/>
      <c r="S367" s="1"/>
      <c r="T367" s="1"/>
      <c r="U367" s="1"/>
      <c r="V367" s="1"/>
      <c r="W367" s="1"/>
      <c r="X367" s="117"/>
    </row>
    <row r="368" spans="15:24" ht="10" customHeight="1">
      <c r="O368" s="1"/>
      <c r="P368" s="1"/>
      <c r="Q368" s="1"/>
      <c r="R368" s="1"/>
      <c r="S368" s="1"/>
      <c r="T368" s="1"/>
      <c r="U368" s="1"/>
      <c r="V368" s="1"/>
      <c r="W368" s="1"/>
      <c r="X368" s="117"/>
    </row>
    <row r="369" spans="15:24" ht="10" customHeight="1">
      <c r="O369" s="1"/>
      <c r="P369" s="1"/>
      <c r="Q369" s="1"/>
      <c r="R369" s="1"/>
      <c r="S369" s="1"/>
      <c r="T369" s="1"/>
      <c r="U369" s="1"/>
      <c r="V369" s="1"/>
      <c r="W369" s="1"/>
      <c r="X369" s="117"/>
    </row>
    <row r="370" spans="15:24" ht="10" customHeight="1">
      <c r="O370" s="1"/>
      <c r="P370" s="1"/>
      <c r="Q370" s="1"/>
      <c r="R370" s="1"/>
      <c r="S370" s="1"/>
      <c r="T370" s="1"/>
      <c r="U370" s="1"/>
      <c r="V370" s="1"/>
      <c r="W370" s="1"/>
      <c r="X370" s="117"/>
    </row>
    <row r="371" spans="15:24" ht="10" customHeight="1">
      <c r="O371" s="1"/>
      <c r="P371" s="1"/>
      <c r="Q371" s="1"/>
      <c r="R371" s="1"/>
      <c r="S371" s="1"/>
      <c r="T371" s="1"/>
      <c r="U371" s="1"/>
      <c r="V371" s="1"/>
      <c r="W371" s="1"/>
      <c r="X371" s="117"/>
    </row>
    <row r="372" spans="15:24" ht="10" customHeight="1">
      <c r="O372" s="1"/>
      <c r="P372" s="1"/>
      <c r="Q372" s="1"/>
      <c r="R372" s="1"/>
      <c r="S372" s="1"/>
      <c r="T372" s="1"/>
      <c r="U372" s="1"/>
      <c r="V372" s="1"/>
      <c r="W372" s="1"/>
      <c r="X372" s="117"/>
    </row>
    <row r="373" spans="15:24" ht="10" customHeight="1">
      <c r="O373" s="1"/>
      <c r="P373" s="1"/>
      <c r="Q373" s="1"/>
      <c r="R373" s="1"/>
      <c r="S373" s="1"/>
      <c r="T373" s="1"/>
      <c r="U373" s="1"/>
      <c r="V373" s="1"/>
      <c r="W373" s="1"/>
      <c r="X373" s="117"/>
    </row>
    <row r="374" spans="15:24" ht="10" customHeight="1">
      <c r="O374" s="1"/>
      <c r="P374" s="1"/>
      <c r="Q374" s="1"/>
      <c r="R374" s="1"/>
      <c r="S374" s="1"/>
      <c r="T374" s="1"/>
      <c r="U374" s="1"/>
      <c r="V374" s="1"/>
      <c r="W374" s="1"/>
      <c r="X374" s="117"/>
    </row>
    <row r="375" spans="15:24" ht="10" customHeight="1">
      <c r="O375" s="1"/>
      <c r="P375" s="1"/>
      <c r="Q375" s="1"/>
      <c r="R375" s="1"/>
      <c r="S375" s="1"/>
      <c r="T375" s="1"/>
      <c r="U375" s="1"/>
      <c r="V375" s="1"/>
      <c r="W375" s="1"/>
      <c r="X375" s="117"/>
    </row>
    <row r="376" spans="15:24" ht="10" customHeight="1">
      <c r="O376" s="1"/>
      <c r="P376" s="1"/>
      <c r="Q376" s="1"/>
      <c r="R376" s="1"/>
      <c r="S376" s="1"/>
      <c r="T376" s="1"/>
      <c r="U376" s="1"/>
      <c r="V376" s="1"/>
      <c r="W376" s="1"/>
      <c r="X376" s="117"/>
    </row>
    <row r="377" spans="15:24" ht="10" customHeight="1">
      <c r="O377" s="1"/>
      <c r="P377" s="1"/>
      <c r="Q377" s="1"/>
      <c r="R377" s="1"/>
      <c r="S377" s="1"/>
      <c r="T377" s="1"/>
      <c r="U377" s="1"/>
      <c r="V377" s="1"/>
      <c r="W377" s="1"/>
      <c r="X377" s="117"/>
    </row>
    <row r="378" spans="15:24" ht="10" customHeight="1">
      <c r="O378" s="1"/>
      <c r="P378" s="1"/>
      <c r="Q378" s="1"/>
      <c r="R378" s="1"/>
      <c r="S378" s="1"/>
      <c r="T378" s="1"/>
      <c r="U378" s="1"/>
      <c r="V378" s="1"/>
      <c r="W378" s="1"/>
      <c r="X378" s="117"/>
    </row>
    <row r="379" spans="15:24" ht="10" customHeight="1">
      <c r="O379" s="1"/>
      <c r="P379" s="1"/>
      <c r="Q379" s="1"/>
      <c r="R379" s="1"/>
      <c r="S379" s="1"/>
      <c r="T379" s="1"/>
      <c r="U379" s="1"/>
      <c r="V379" s="1"/>
      <c r="W379" s="1"/>
      <c r="X379" s="117"/>
    </row>
    <row r="380" spans="15:24" ht="10" customHeight="1">
      <c r="O380" s="1"/>
      <c r="P380" s="1"/>
      <c r="Q380" s="1"/>
      <c r="R380" s="1"/>
      <c r="S380" s="1"/>
      <c r="T380" s="1"/>
      <c r="U380" s="1"/>
      <c r="V380" s="1"/>
      <c r="W380" s="1"/>
      <c r="X380" s="117"/>
    </row>
    <row r="381" spans="15:24" ht="10" customHeight="1">
      <c r="O381" s="1"/>
      <c r="P381" s="1"/>
      <c r="Q381" s="1"/>
      <c r="R381" s="1"/>
      <c r="S381" s="1"/>
      <c r="T381" s="1"/>
      <c r="U381" s="1"/>
      <c r="V381" s="1"/>
      <c r="W381" s="1"/>
      <c r="X381" s="117"/>
    </row>
    <row r="382" spans="15:24" ht="10" customHeight="1">
      <c r="O382" s="1"/>
      <c r="P382" s="1"/>
      <c r="Q382" s="1"/>
      <c r="R382" s="1"/>
      <c r="S382" s="1"/>
      <c r="T382" s="1"/>
      <c r="U382" s="1"/>
      <c r="V382" s="1"/>
      <c r="W382" s="1"/>
      <c r="X382" s="117"/>
    </row>
    <row r="383" spans="15:24" ht="10" customHeight="1">
      <c r="O383" s="1"/>
      <c r="P383" s="1"/>
      <c r="Q383" s="1"/>
      <c r="R383" s="1"/>
      <c r="S383" s="1"/>
      <c r="T383" s="1"/>
      <c r="U383" s="1"/>
      <c r="V383" s="1"/>
      <c r="W383" s="1"/>
      <c r="X383" s="117"/>
    </row>
    <row r="384" spans="15:24" ht="10" customHeight="1">
      <c r="O384" s="1"/>
      <c r="P384" s="1"/>
      <c r="Q384" s="1"/>
      <c r="R384" s="1"/>
      <c r="S384" s="1"/>
      <c r="T384" s="1"/>
      <c r="U384" s="1"/>
      <c r="V384" s="1"/>
      <c r="W384" s="1"/>
      <c r="X384" s="117"/>
    </row>
    <row r="385" spans="15:24" ht="10" customHeight="1">
      <c r="O385" s="1"/>
      <c r="P385" s="1"/>
      <c r="Q385" s="1"/>
      <c r="R385" s="1"/>
      <c r="S385" s="1"/>
      <c r="T385" s="1"/>
      <c r="U385" s="1"/>
      <c r="V385" s="1"/>
      <c r="W385" s="1"/>
      <c r="X385" s="117"/>
    </row>
    <row r="386" spans="15:24" ht="10" customHeight="1">
      <c r="O386" s="1"/>
      <c r="P386" s="1"/>
      <c r="Q386" s="1"/>
      <c r="R386" s="1"/>
      <c r="S386" s="1"/>
      <c r="T386" s="1"/>
      <c r="U386" s="1"/>
      <c r="V386" s="1"/>
      <c r="W386" s="1"/>
      <c r="X386" s="117"/>
    </row>
    <row r="387" spans="15:24" ht="10" customHeight="1">
      <c r="O387" s="1"/>
      <c r="P387" s="1"/>
      <c r="Q387" s="1"/>
      <c r="R387" s="1"/>
      <c r="S387" s="1"/>
      <c r="T387" s="1"/>
      <c r="U387" s="1"/>
      <c r="V387" s="1"/>
      <c r="W387" s="1"/>
      <c r="X387" s="117"/>
    </row>
    <row r="388" spans="15:24" ht="10" customHeight="1">
      <c r="O388" s="1"/>
      <c r="P388" s="1"/>
      <c r="Q388" s="1"/>
      <c r="R388" s="1"/>
      <c r="S388" s="1"/>
      <c r="T388" s="1"/>
      <c r="U388" s="1"/>
      <c r="V388" s="1"/>
      <c r="W388" s="1"/>
      <c r="X388" s="117"/>
    </row>
    <row r="389" spans="15:24" ht="10" customHeight="1">
      <c r="O389" s="1"/>
      <c r="P389" s="1"/>
      <c r="Q389" s="1"/>
      <c r="R389" s="1"/>
      <c r="S389" s="1"/>
      <c r="T389" s="1"/>
      <c r="U389" s="1"/>
      <c r="V389" s="1"/>
      <c r="W389" s="1"/>
      <c r="X389" s="117"/>
    </row>
    <row r="390" spans="15:24" ht="10" customHeight="1">
      <c r="O390" s="1"/>
      <c r="P390" s="1"/>
      <c r="Q390" s="1"/>
      <c r="R390" s="1"/>
      <c r="S390" s="1"/>
      <c r="T390" s="1"/>
      <c r="U390" s="1"/>
      <c r="V390" s="1"/>
      <c r="W390" s="1"/>
      <c r="X390" s="117"/>
    </row>
    <row r="391" spans="15:24" ht="10" customHeight="1">
      <c r="O391" s="1"/>
      <c r="P391" s="1"/>
      <c r="Q391" s="1"/>
      <c r="R391" s="1"/>
      <c r="S391" s="1"/>
      <c r="T391" s="1"/>
      <c r="U391" s="1"/>
      <c r="V391" s="1"/>
      <c r="W391" s="1"/>
      <c r="X391" s="117"/>
    </row>
    <row r="392" spans="15:24" ht="10" customHeight="1">
      <c r="O392" s="1"/>
      <c r="P392" s="1"/>
      <c r="Q392" s="1"/>
      <c r="R392" s="1"/>
      <c r="S392" s="1"/>
      <c r="T392" s="1"/>
      <c r="U392" s="1"/>
      <c r="V392" s="1"/>
      <c r="W392" s="1"/>
      <c r="X392" s="117"/>
    </row>
    <row r="393" spans="15:24" ht="10" customHeight="1">
      <c r="O393" s="1"/>
      <c r="P393" s="1"/>
      <c r="Q393" s="1"/>
      <c r="R393" s="1"/>
      <c r="S393" s="1"/>
      <c r="T393" s="1"/>
      <c r="U393" s="1"/>
      <c r="V393" s="1"/>
      <c r="W393" s="1"/>
      <c r="X393" s="117"/>
    </row>
    <row r="394" spans="15:24" ht="10" customHeight="1">
      <c r="O394" s="1"/>
      <c r="P394" s="1"/>
      <c r="Q394" s="1"/>
      <c r="R394" s="1"/>
      <c r="S394" s="1"/>
      <c r="T394" s="1"/>
      <c r="U394" s="1"/>
      <c r="V394" s="1"/>
      <c r="W394" s="1"/>
      <c r="X394" s="117"/>
    </row>
    <row r="395" spans="15:24" ht="10" customHeight="1">
      <c r="O395" s="1"/>
      <c r="P395" s="1"/>
      <c r="Q395" s="1"/>
      <c r="R395" s="1"/>
      <c r="S395" s="1"/>
      <c r="T395" s="1"/>
      <c r="U395" s="1"/>
      <c r="V395" s="1"/>
      <c r="W395" s="1"/>
      <c r="X395" s="117"/>
    </row>
    <row r="396" spans="15:24" ht="10" customHeight="1">
      <c r="O396" s="1"/>
      <c r="P396" s="1"/>
      <c r="Q396" s="1"/>
      <c r="R396" s="1"/>
      <c r="S396" s="1"/>
      <c r="T396" s="1"/>
      <c r="U396" s="1"/>
      <c r="V396" s="1"/>
      <c r="W396" s="1"/>
      <c r="X396" s="117"/>
    </row>
    <row r="397" spans="15:24" ht="10" customHeight="1">
      <c r="O397" s="1"/>
      <c r="P397" s="1"/>
      <c r="Q397" s="1"/>
      <c r="R397" s="1"/>
      <c r="S397" s="1"/>
      <c r="T397" s="1"/>
      <c r="U397" s="1"/>
      <c r="V397" s="1"/>
      <c r="W397" s="1"/>
      <c r="X397" s="117"/>
    </row>
    <row r="398" spans="15:24" ht="10" customHeight="1">
      <c r="O398" s="1"/>
      <c r="P398" s="1"/>
      <c r="Q398" s="1"/>
      <c r="R398" s="1"/>
      <c r="S398" s="1"/>
      <c r="T398" s="1"/>
      <c r="U398" s="1"/>
      <c r="V398" s="1"/>
      <c r="W398" s="1"/>
      <c r="X398" s="117"/>
    </row>
    <row r="399" spans="15:24" ht="10" customHeight="1">
      <c r="O399" s="1"/>
      <c r="P399" s="1"/>
      <c r="Q399" s="1"/>
      <c r="R399" s="1"/>
      <c r="S399" s="1"/>
      <c r="T399" s="1"/>
      <c r="U399" s="1"/>
      <c r="V399" s="1"/>
      <c r="W399" s="1"/>
      <c r="X399" s="117"/>
    </row>
    <row r="400" spans="15:24" ht="10" customHeight="1">
      <c r="O400" s="1"/>
      <c r="P400" s="1"/>
      <c r="Q400" s="1"/>
      <c r="R400" s="1"/>
      <c r="S400" s="1"/>
      <c r="T400" s="1"/>
      <c r="U400" s="1"/>
      <c r="V400" s="1"/>
      <c r="W400" s="1"/>
      <c r="X400" s="117"/>
    </row>
    <row r="401" spans="15:24" ht="10" customHeight="1">
      <c r="O401" s="1"/>
      <c r="P401" s="1"/>
      <c r="Q401" s="1"/>
      <c r="R401" s="1"/>
      <c r="S401" s="1"/>
      <c r="T401" s="1"/>
      <c r="U401" s="1"/>
      <c r="V401" s="1"/>
      <c r="W401" s="1"/>
      <c r="X401" s="117"/>
    </row>
    <row r="402" spans="15:24" ht="10" customHeight="1">
      <c r="O402" s="1"/>
      <c r="P402" s="1"/>
      <c r="Q402" s="1"/>
      <c r="R402" s="1"/>
      <c r="S402" s="1"/>
      <c r="T402" s="1"/>
      <c r="U402" s="1"/>
      <c r="V402" s="1"/>
      <c r="W402" s="1"/>
      <c r="X402" s="117"/>
    </row>
    <row r="403" spans="15:24" ht="10" customHeight="1">
      <c r="O403" s="1"/>
      <c r="P403" s="1"/>
      <c r="Q403" s="1"/>
      <c r="R403" s="1"/>
      <c r="S403" s="1"/>
      <c r="T403" s="1"/>
      <c r="U403" s="1"/>
      <c r="V403" s="1"/>
      <c r="W403" s="1"/>
      <c r="X403" s="117"/>
    </row>
    <row r="404" spans="15:24" ht="10" customHeight="1">
      <c r="O404" s="1"/>
      <c r="P404" s="1"/>
      <c r="Q404" s="1"/>
      <c r="R404" s="1"/>
      <c r="S404" s="1"/>
      <c r="T404" s="1"/>
      <c r="U404" s="1"/>
      <c r="V404" s="1"/>
      <c r="W404" s="1"/>
      <c r="X404" s="117"/>
    </row>
    <row r="405" spans="15:24" ht="10" customHeight="1">
      <c r="O405" s="1"/>
      <c r="P405" s="1"/>
      <c r="Q405" s="1"/>
      <c r="R405" s="1"/>
      <c r="S405" s="1"/>
      <c r="T405" s="1"/>
      <c r="U405" s="1"/>
      <c r="V405" s="1"/>
      <c r="W405" s="1"/>
      <c r="X405" s="117"/>
    </row>
    <row r="406" spans="15:24" ht="10" customHeight="1">
      <c r="O406" s="1"/>
      <c r="P406" s="1"/>
      <c r="Q406" s="1"/>
      <c r="R406" s="1"/>
      <c r="S406" s="1"/>
      <c r="T406" s="1"/>
      <c r="U406" s="1"/>
      <c r="V406" s="1"/>
      <c r="W406" s="1"/>
      <c r="X406" s="117"/>
    </row>
    <row r="407" spans="15:24" ht="10" customHeight="1">
      <c r="O407" s="1"/>
      <c r="P407" s="1"/>
      <c r="Q407" s="1"/>
      <c r="R407" s="1"/>
      <c r="S407" s="1"/>
      <c r="T407" s="1"/>
      <c r="U407" s="1"/>
      <c r="V407" s="1"/>
      <c r="W407" s="1"/>
      <c r="X407" s="117"/>
    </row>
    <row r="408" spans="15:24" ht="10" customHeight="1">
      <c r="O408" s="1"/>
      <c r="P408" s="1"/>
      <c r="Q408" s="1"/>
      <c r="R408" s="1"/>
      <c r="S408" s="1"/>
      <c r="T408" s="1"/>
      <c r="U408" s="1"/>
      <c r="V408" s="1"/>
      <c r="W408" s="1"/>
      <c r="X408" s="117"/>
    </row>
    <row r="409" spans="15:24" ht="10" customHeight="1">
      <c r="O409" s="1"/>
      <c r="P409" s="1"/>
      <c r="Q409" s="1"/>
      <c r="R409" s="1"/>
      <c r="S409" s="1"/>
      <c r="T409" s="1"/>
      <c r="U409" s="1"/>
      <c r="V409" s="1"/>
      <c r="W409" s="1"/>
      <c r="X409" s="117"/>
    </row>
    <row r="410" spans="15:24" ht="10" customHeight="1">
      <c r="O410" s="1"/>
      <c r="P410" s="1"/>
      <c r="Q410" s="1"/>
      <c r="R410" s="1"/>
      <c r="S410" s="1"/>
      <c r="T410" s="1"/>
      <c r="U410" s="1"/>
      <c r="V410" s="1"/>
      <c r="W410" s="1"/>
      <c r="X410" s="117"/>
    </row>
    <row r="411" spans="15:24" ht="10" customHeight="1">
      <c r="O411" s="1"/>
      <c r="P411" s="1"/>
      <c r="Q411" s="1"/>
      <c r="R411" s="1"/>
      <c r="S411" s="1"/>
      <c r="T411" s="1"/>
      <c r="U411" s="1"/>
      <c r="V411" s="1"/>
      <c r="W411" s="1"/>
      <c r="X411" s="117"/>
    </row>
    <row r="412" spans="15:24" ht="10" customHeight="1">
      <c r="O412" s="1"/>
      <c r="P412" s="1"/>
      <c r="Q412" s="1"/>
      <c r="R412" s="1"/>
      <c r="S412" s="1"/>
      <c r="T412" s="1"/>
      <c r="U412" s="1"/>
      <c r="V412" s="1"/>
      <c r="W412" s="1"/>
      <c r="X412" s="117"/>
    </row>
    <row r="413" spans="15:24" ht="10" customHeight="1">
      <c r="O413" s="1"/>
      <c r="P413" s="1"/>
      <c r="Q413" s="1"/>
      <c r="R413" s="1"/>
      <c r="S413" s="1"/>
      <c r="T413" s="1"/>
      <c r="U413" s="1"/>
      <c r="V413" s="1"/>
      <c r="W413" s="1"/>
      <c r="X413" s="117"/>
    </row>
    <row r="414" spans="15:24" ht="10" customHeight="1">
      <c r="O414" s="1"/>
      <c r="P414" s="1"/>
      <c r="Q414" s="1"/>
      <c r="R414" s="1"/>
      <c r="S414" s="1"/>
      <c r="T414" s="1"/>
      <c r="U414" s="1"/>
      <c r="V414" s="1"/>
      <c r="W414" s="1"/>
      <c r="X414" s="117"/>
    </row>
    <row r="415" spans="15:24" ht="10" customHeight="1">
      <c r="O415" s="1"/>
      <c r="P415" s="1"/>
      <c r="Q415" s="1"/>
      <c r="R415" s="1"/>
      <c r="S415" s="1"/>
      <c r="T415" s="1"/>
      <c r="U415" s="1"/>
      <c r="V415" s="1"/>
      <c r="W415" s="1"/>
      <c r="X415" s="117"/>
    </row>
    <row r="416" spans="15:24" ht="10" customHeight="1">
      <c r="O416" s="1"/>
      <c r="P416" s="1"/>
      <c r="Q416" s="1"/>
      <c r="R416" s="1"/>
      <c r="S416" s="1"/>
      <c r="T416" s="1"/>
      <c r="U416" s="1"/>
      <c r="V416" s="1"/>
      <c r="W416" s="1"/>
      <c r="X416" s="117"/>
    </row>
    <row r="417" spans="15:24" ht="10" customHeight="1">
      <c r="O417" s="1"/>
      <c r="P417" s="1"/>
      <c r="Q417" s="1"/>
      <c r="R417" s="1"/>
      <c r="S417" s="1"/>
      <c r="T417" s="1"/>
      <c r="U417" s="1"/>
      <c r="V417" s="1"/>
      <c r="W417" s="1"/>
      <c r="X417" s="117"/>
    </row>
    <row r="418" spans="15:24" ht="10" customHeight="1">
      <c r="O418" s="1"/>
      <c r="P418" s="1"/>
      <c r="Q418" s="1"/>
      <c r="R418" s="1"/>
      <c r="S418" s="1"/>
      <c r="T418" s="1"/>
      <c r="U418" s="1"/>
      <c r="V418" s="1"/>
      <c r="W418" s="1"/>
      <c r="X418" s="117"/>
    </row>
    <row r="419" spans="15:24" ht="10" customHeight="1">
      <c r="O419" s="1"/>
      <c r="P419" s="1"/>
      <c r="Q419" s="1"/>
      <c r="R419" s="1"/>
      <c r="S419" s="1"/>
      <c r="T419" s="1"/>
      <c r="U419" s="1"/>
      <c r="V419" s="1"/>
      <c r="W419" s="1"/>
      <c r="X419" s="117"/>
    </row>
    <row r="420" spans="15:24" ht="10" customHeight="1">
      <c r="O420" s="1"/>
      <c r="P420" s="1"/>
      <c r="Q420" s="1"/>
      <c r="R420" s="1"/>
      <c r="S420" s="1"/>
      <c r="T420" s="1"/>
      <c r="U420" s="1"/>
      <c r="V420" s="1"/>
      <c r="W420" s="1"/>
      <c r="X420" s="117"/>
    </row>
    <row r="421" spans="15:24" ht="10" customHeight="1">
      <c r="O421" s="1"/>
      <c r="P421" s="1"/>
      <c r="Q421" s="1"/>
      <c r="R421" s="1"/>
      <c r="S421" s="1"/>
      <c r="T421" s="1"/>
      <c r="U421" s="1"/>
      <c r="V421" s="1"/>
      <c r="W421" s="1"/>
      <c r="X421" s="117"/>
    </row>
    <row r="422" spans="15:24" ht="10" customHeight="1">
      <c r="O422" s="1"/>
      <c r="P422" s="1"/>
      <c r="Q422" s="1"/>
      <c r="R422" s="1"/>
      <c r="S422" s="1"/>
      <c r="T422" s="1"/>
      <c r="U422" s="1"/>
      <c r="V422" s="1"/>
      <c r="W422" s="1"/>
      <c r="X422" s="117"/>
    </row>
    <row r="423" spans="15:24" ht="10" customHeight="1">
      <c r="O423" s="1"/>
      <c r="P423" s="1"/>
      <c r="Q423" s="1"/>
      <c r="R423" s="1"/>
      <c r="S423" s="1"/>
      <c r="T423" s="1"/>
      <c r="U423" s="1"/>
      <c r="V423" s="1"/>
      <c r="W423" s="1"/>
      <c r="X423" s="117"/>
    </row>
    <row r="424" spans="15:24" ht="10" customHeight="1">
      <c r="O424" s="1"/>
      <c r="P424" s="1"/>
      <c r="Q424" s="1"/>
      <c r="R424" s="1"/>
      <c r="S424" s="1"/>
      <c r="T424" s="1"/>
      <c r="U424" s="1"/>
      <c r="V424" s="1"/>
      <c r="W424" s="1"/>
      <c r="X424" s="117"/>
    </row>
    <row r="425" spans="15:24" ht="10" customHeight="1">
      <c r="O425" s="1"/>
      <c r="P425" s="1"/>
      <c r="Q425" s="1"/>
      <c r="R425" s="1"/>
      <c r="S425" s="1"/>
      <c r="T425" s="1"/>
      <c r="U425" s="1"/>
      <c r="V425" s="1"/>
      <c r="W425" s="1"/>
      <c r="X425" s="117"/>
    </row>
    <row r="426" spans="15:24" ht="10" customHeight="1">
      <c r="O426" s="1"/>
      <c r="P426" s="1"/>
      <c r="Q426" s="1"/>
      <c r="R426" s="1"/>
      <c r="S426" s="1"/>
      <c r="T426" s="1"/>
      <c r="U426" s="1"/>
      <c r="V426" s="1"/>
      <c r="W426" s="1"/>
      <c r="X426" s="117"/>
    </row>
    <row r="427" spans="15:24" ht="10" customHeight="1">
      <c r="O427" s="1"/>
      <c r="P427" s="1"/>
      <c r="Q427" s="1"/>
      <c r="R427" s="1"/>
      <c r="S427" s="1"/>
      <c r="T427" s="1"/>
      <c r="U427" s="1"/>
      <c r="V427" s="1"/>
      <c r="W427" s="1"/>
      <c r="X427" s="117"/>
    </row>
    <row r="428" spans="15:24" ht="10" customHeight="1">
      <c r="O428" s="1"/>
      <c r="P428" s="1"/>
      <c r="Q428" s="1"/>
      <c r="R428" s="1"/>
      <c r="S428" s="1"/>
      <c r="T428" s="1"/>
      <c r="U428" s="1"/>
      <c r="V428" s="1"/>
      <c r="W428" s="1"/>
      <c r="X428" s="117"/>
    </row>
    <row r="429" spans="15:24" ht="10" customHeight="1">
      <c r="O429" s="1"/>
      <c r="P429" s="1"/>
      <c r="Q429" s="1"/>
      <c r="R429" s="1"/>
      <c r="S429" s="1"/>
      <c r="T429" s="1"/>
      <c r="U429" s="1"/>
      <c r="V429" s="1"/>
      <c r="W429" s="1"/>
      <c r="X429" s="117"/>
    </row>
    <row r="430" spans="15:24" ht="10" customHeight="1">
      <c r="O430" s="1"/>
      <c r="P430" s="1"/>
      <c r="Q430" s="1"/>
      <c r="R430" s="1"/>
      <c r="S430" s="1"/>
      <c r="T430" s="1"/>
      <c r="U430" s="1"/>
      <c r="V430" s="1"/>
      <c r="W430" s="1"/>
      <c r="X430" s="117"/>
    </row>
    <row r="431" spans="15:24" ht="10" customHeight="1">
      <c r="O431" s="1"/>
      <c r="P431" s="1"/>
      <c r="Q431" s="1"/>
      <c r="R431" s="1"/>
      <c r="S431" s="1"/>
      <c r="T431" s="1"/>
      <c r="U431" s="1"/>
      <c r="V431" s="1"/>
      <c r="W431" s="1"/>
      <c r="X431" s="117"/>
    </row>
    <row r="432" spans="15:24" ht="10" customHeight="1">
      <c r="O432" s="1"/>
      <c r="P432" s="1"/>
      <c r="Q432" s="1"/>
      <c r="R432" s="1"/>
      <c r="S432" s="1"/>
      <c r="T432" s="1"/>
      <c r="U432" s="1"/>
      <c r="V432" s="1"/>
      <c r="W432" s="1"/>
      <c r="X432" s="117"/>
    </row>
    <row r="433" spans="15:24" ht="10" customHeight="1">
      <c r="O433" s="1"/>
      <c r="P433" s="1"/>
      <c r="Q433" s="1"/>
      <c r="R433" s="1"/>
      <c r="S433" s="1"/>
      <c r="T433" s="1"/>
      <c r="U433" s="1"/>
      <c r="V433" s="1"/>
      <c r="W433" s="1"/>
      <c r="X433" s="117"/>
    </row>
    <row r="434" spans="15:24" ht="10" customHeight="1">
      <c r="O434" s="1"/>
      <c r="P434" s="1"/>
      <c r="Q434" s="1"/>
      <c r="R434" s="1"/>
      <c r="S434" s="1"/>
      <c r="T434" s="1"/>
      <c r="U434" s="1"/>
      <c r="V434" s="1"/>
      <c r="W434" s="1"/>
      <c r="X434" s="117"/>
    </row>
    <row r="435" spans="15:24" ht="10" customHeight="1">
      <c r="O435" s="1"/>
      <c r="P435" s="1"/>
      <c r="Q435" s="1"/>
      <c r="R435" s="1"/>
      <c r="S435" s="1"/>
      <c r="T435" s="1"/>
      <c r="U435" s="1"/>
      <c r="V435" s="1"/>
      <c r="W435" s="1"/>
      <c r="X435" s="117"/>
    </row>
    <row r="436" spans="15:24" ht="10" customHeight="1">
      <c r="O436" s="1"/>
      <c r="P436" s="1"/>
      <c r="Q436" s="1"/>
      <c r="R436" s="1"/>
      <c r="S436" s="1"/>
      <c r="T436" s="1"/>
      <c r="U436" s="1"/>
      <c r="V436" s="1"/>
      <c r="W436" s="1"/>
      <c r="X436" s="117"/>
    </row>
    <row r="437" spans="15:24" ht="10" customHeight="1">
      <c r="O437" s="1"/>
      <c r="P437" s="1"/>
      <c r="Q437" s="1"/>
      <c r="R437" s="1"/>
      <c r="S437" s="1"/>
      <c r="T437" s="1"/>
      <c r="U437" s="1"/>
      <c r="V437" s="1"/>
      <c r="W437" s="1"/>
      <c r="X437" s="117"/>
    </row>
    <row r="438" spans="15:24" ht="10" customHeight="1">
      <c r="O438" s="1"/>
      <c r="P438" s="1"/>
      <c r="Q438" s="1"/>
      <c r="R438" s="1"/>
      <c r="S438" s="1"/>
      <c r="T438" s="1"/>
      <c r="U438" s="1"/>
      <c r="V438" s="1"/>
      <c r="W438" s="1"/>
      <c r="X438" s="117"/>
    </row>
    <row r="439" spans="15:24" ht="10" customHeight="1">
      <c r="O439" s="1"/>
      <c r="P439" s="1"/>
      <c r="Q439" s="1"/>
      <c r="R439" s="1"/>
      <c r="S439" s="1"/>
      <c r="T439" s="1"/>
      <c r="U439" s="1"/>
      <c r="V439" s="1"/>
      <c r="W439" s="1"/>
      <c r="X439" s="117"/>
    </row>
    <row r="440" spans="15:24" ht="10" customHeight="1">
      <c r="O440" s="1"/>
      <c r="P440" s="1"/>
      <c r="Q440" s="1"/>
      <c r="R440" s="1"/>
      <c r="S440" s="1"/>
      <c r="T440" s="1"/>
      <c r="U440" s="1"/>
      <c r="V440" s="1"/>
      <c r="W440" s="1"/>
      <c r="X440" s="117"/>
    </row>
    <row r="441" spans="15:24" ht="10" customHeight="1">
      <c r="O441" s="1"/>
      <c r="P441" s="1"/>
      <c r="Q441" s="1"/>
      <c r="R441" s="1"/>
      <c r="S441" s="1"/>
      <c r="T441" s="1"/>
      <c r="U441" s="1"/>
      <c r="V441" s="1"/>
      <c r="W441" s="1"/>
      <c r="X441" s="117"/>
    </row>
    <row r="442" spans="15:24" ht="10" customHeight="1">
      <c r="O442" s="1"/>
      <c r="P442" s="1"/>
      <c r="Q442" s="1"/>
      <c r="R442" s="1"/>
      <c r="S442" s="1"/>
      <c r="T442" s="1"/>
      <c r="U442" s="1"/>
      <c r="V442" s="1"/>
      <c r="W442" s="1"/>
      <c r="X442" s="117"/>
    </row>
    <row r="443" spans="15:24" ht="10" customHeight="1">
      <c r="O443" s="1"/>
      <c r="P443" s="1"/>
      <c r="Q443" s="1"/>
      <c r="R443" s="1"/>
      <c r="S443" s="1"/>
      <c r="T443" s="1"/>
      <c r="U443" s="1"/>
      <c r="V443" s="1"/>
      <c r="W443" s="1"/>
      <c r="X443" s="117"/>
    </row>
    <row r="444" spans="15:24" ht="10" customHeight="1">
      <c r="O444" s="1"/>
      <c r="P444" s="1"/>
      <c r="Q444" s="1"/>
      <c r="R444" s="1"/>
      <c r="S444" s="1"/>
      <c r="T444" s="1"/>
      <c r="U444" s="1"/>
      <c r="V444" s="1"/>
      <c r="W444" s="1"/>
      <c r="X444" s="117"/>
    </row>
    <row r="445" spans="15:24" ht="10" customHeight="1">
      <c r="O445" s="1"/>
      <c r="P445" s="1"/>
      <c r="Q445" s="1"/>
      <c r="R445" s="1"/>
      <c r="S445" s="1"/>
      <c r="T445" s="1"/>
      <c r="U445" s="1"/>
      <c r="V445" s="1"/>
      <c r="W445" s="1"/>
      <c r="X445" s="117"/>
    </row>
    <row r="446" spans="15:24" ht="10" customHeight="1">
      <c r="O446" s="1"/>
      <c r="P446" s="1"/>
      <c r="Q446" s="1"/>
      <c r="R446" s="1"/>
      <c r="S446" s="1"/>
      <c r="T446" s="1"/>
      <c r="U446" s="1"/>
      <c r="V446" s="1"/>
      <c r="W446" s="1"/>
      <c r="X446" s="117"/>
    </row>
    <row r="447" spans="15:24" ht="10" customHeight="1">
      <c r="O447" s="1"/>
      <c r="P447" s="1"/>
      <c r="Q447" s="1"/>
      <c r="R447" s="1"/>
      <c r="S447" s="1"/>
      <c r="T447" s="1"/>
      <c r="U447" s="1"/>
      <c r="V447" s="1"/>
      <c r="W447" s="1"/>
      <c r="X447" s="117"/>
    </row>
    <row r="448" spans="15:24" ht="10" customHeight="1">
      <c r="O448" s="1"/>
      <c r="P448" s="1"/>
      <c r="Q448" s="1"/>
      <c r="R448" s="1"/>
      <c r="S448" s="1"/>
      <c r="T448" s="1"/>
      <c r="U448" s="1"/>
      <c r="V448" s="1"/>
      <c r="W448" s="1"/>
      <c r="X448" s="117"/>
    </row>
    <row r="449" spans="15:24" ht="10" customHeight="1">
      <c r="O449" s="1"/>
      <c r="P449" s="1"/>
      <c r="Q449" s="1"/>
      <c r="R449" s="1"/>
      <c r="S449" s="1"/>
      <c r="T449" s="1"/>
      <c r="U449" s="1"/>
      <c r="V449" s="1"/>
      <c r="W449" s="1"/>
      <c r="X449" s="117"/>
    </row>
    <row r="450" spans="15:24" ht="10" customHeight="1">
      <c r="O450" s="1"/>
      <c r="P450" s="1"/>
      <c r="Q450" s="1"/>
      <c r="R450" s="1"/>
      <c r="S450" s="1"/>
      <c r="T450" s="1"/>
      <c r="U450" s="1"/>
      <c r="V450" s="1"/>
      <c r="W450" s="1"/>
      <c r="X450" s="117"/>
    </row>
    <row r="451" spans="15:24" ht="10" customHeight="1">
      <c r="O451" s="1"/>
      <c r="P451" s="1"/>
      <c r="Q451" s="1"/>
      <c r="R451" s="1"/>
      <c r="S451" s="1"/>
      <c r="T451" s="1"/>
      <c r="U451" s="1"/>
      <c r="V451" s="1"/>
      <c r="W451" s="1"/>
      <c r="X451" s="117"/>
    </row>
    <row r="452" spans="15:24" ht="10" customHeight="1">
      <c r="O452" s="1"/>
      <c r="P452" s="1"/>
      <c r="Q452" s="1"/>
      <c r="R452" s="1"/>
      <c r="S452" s="1"/>
      <c r="T452" s="1"/>
      <c r="U452" s="1"/>
      <c r="V452" s="1"/>
      <c r="W452" s="1"/>
      <c r="X452" s="117"/>
    </row>
    <row r="453" spans="15:24" ht="10" customHeight="1">
      <c r="O453" s="1"/>
      <c r="P453" s="1"/>
      <c r="Q453" s="1"/>
      <c r="R453" s="1"/>
      <c r="S453" s="1"/>
      <c r="T453" s="1"/>
      <c r="U453" s="1"/>
      <c r="V453" s="1"/>
      <c r="W453" s="1"/>
      <c r="X453" s="117"/>
    </row>
    <row r="454" spans="15:24" ht="10" customHeight="1">
      <c r="O454" s="1"/>
      <c r="P454" s="1"/>
      <c r="Q454" s="1"/>
      <c r="R454" s="1"/>
      <c r="S454" s="1"/>
      <c r="T454" s="1"/>
      <c r="U454" s="1"/>
      <c r="V454" s="1"/>
      <c r="W454" s="1"/>
      <c r="X454" s="117"/>
    </row>
    <row r="455" spans="15:24" ht="10" customHeight="1">
      <c r="O455" s="1"/>
      <c r="P455" s="1"/>
      <c r="Q455" s="1"/>
      <c r="R455" s="1"/>
      <c r="S455" s="1"/>
      <c r="T455" s="1"/>
      <c r="U455" s="1"/>
      <c r="V455" s="1"/>
      <c r="W455" s="1"/>
      <c r="X455" s="117"/>
    </row>
    <row r="456" spans="15:24" ht="10" customHeight="1">
      <c r="O456" s="1"/>
      <c r="P456" s="1"/>
      <c r="Q456" s="1"/>
      <c r="R456" s="1"/>
      <c r="S456" s="1"/>
      <c r="T456" s="1"/>
      <c r="U456" s="1"/>
      <c r="V456" s="1"/>
      <c r="W456" s="1"/>
      <c r="X456" s="117"/>
    </row>
    <row r="457" spans="15:24" ht="10" customHeight="1">
      <c r="O457" s="1"/>
      <c r="P457" s="1"/>
      <c r="Q457" s="1"/>
      <c r="R457" s="1"/>
      <c r="S457" s="1"/>
      <c r="T457" s="1"/>
      <c r="U457" s="1"/>
      <c r="V457" s="1"/>
      <c r="W457" s="1"/>
      <c r="X457" s="117"/>
    </row>
    <row r="458" spans="15:24" ht="10" customHeight="1">
      <c r="O458" s="1"/>
      <c r="P458" s="1"/>
      <c r="Q458" s="1"/>
      <c r="R458" s="1"/>
      <c r="S458" s="1"/>
      <c r="T458" s="1"/>
      <c r="U458" s="1"/>
      <c r="V458" s="1"/>
      <c r="W458" s="1"/>
      <c r="X458" s="117"/>
    </row>
    <row r="459" spans="15:24" ht="10" customHeight="1">
      <c r="O459" s="1"/>
      <c r="P459" s="1"/>
      <c r="Q459" s="1"/>
      <c r="R459" s="1"/>
      <c r="S459" s="1"/>
      <c r="T459" s="1"/>
      <c r="U459" s="1"/>
      <c r="V459" s="1"/>
      <c r="W459" s="1"/>
      <c r="X459" s="117"/>
    </row>
    <row r="460" spans="15:24" ht="10" customHeight="1">
      <c r="O460" s="1"/>
      <c r="P460" s="1"/>
      <c r="Q460" s="1"/>
      <c r="R460" s="1"/>
      <c r="S460" s="1"/>
      <c r="T460" s="1"/>
      <c r="U460" s="1"/>
      <c r="V460" s="1"/>
      <c r="W460" s="1"/>
      <c r="X460" s="117"/>
    </row>
    <row r="461" spans="15:24" ht="10" customHeight="1">
      <c r="O461" s="1"/>
      <c r="P461" s="1"/>
      <c r="Q461" s="1"/>
      <c r="R461" s="1"/>
      <c r="S461" s="1"/>
      <c r="T461" s="1"/>
      <c r="U461" s="1"/>
      <c r="V461" s="1"/>
      <c r="W461" s="1"/>
      <c r="X461" s="117"/>
    </row>
    <row r="462" spans="15:24" ht="10" customHeight="1">
      <c r="O462" s="1"/>
      <c r="P462" s="1"/>
      <c r="Q462" s="1"/>
      <c r="R462" s="1"/>
      <c r="S462" s="1"/>
      <c r="T462" s="1"/>
      <c r="U462" s="1"/>
      <c r="V462" s="1"/>
      <c r="W462" s="1"/>
      <c r="X462" s="117"/>
    </row>
    <row r="463" spans="15:24" ht="10" customHeight="1">
      <c r="O463" s="1"/>
      <c r="P463" s="1"/>
      <c r="Q463" s="1"/>
      <c r="R463" s="1"/>
      <c r="S463" s="1"/>
      <c r="T463" s="1"/>
      <c r="U463" s="1"/>
      <c r="V463" s="1"/>
      <c r="W463" s="1"/>
      <c r="X463" s="117"/>
    </row>
    <row r="464" spans="15:24" ht="10" customHeight="1">
      <c r="O464" s="1"/>
      <c r="P464" s="1"/>
      <c r="Q464" s="1"/>
      <c r="R464" s="1"/>
      <c r="S464" s="1"/>
      <c r="T464" s="1"/>
      <c r="U464" s="1"/>
      <c r="V464" s="1"/>
      <c r="W464" s="1"/>
      <c r="X464" s="117"/>
    </row>
    <row r="465" spans="15:24" ht="10" customHeight="1">
      <c r="O465" s="1"/>
      <c r="P465" s="1"/>
      <c r="Q465" s="1"/>
      <c r="R465" s="1"/>
      <c r="S465" s="1"/>
      <c r="T465" s="1"/>
      <c r="U465" s="1"/>
      <c r="V465" s="1"/>
      <c r="W465" s="1"/>
      <c r="X465" s="117"/>
    </row>
    <row r="466" spans="15:24" ht="10" customHeight="1">
      <c r="O466" s="1"/>
      <c r="P466" s="1"/>
      <c r="Q466" s="1"/>
      <c r="R466" s="1"/>
      <c r="S466" s="1"/>
      <c r="T466" s="1"/>
      <c r="U466" s="1"/>
      <c r="V466" s="1"/>
      <c r="W466" s="1"/>
      <c r="X466" s="117"/>
    </row>
    <row r="467" spans="15:24" ht="10" customHeight="1">
      <c r="O467" s="1"/>
      <c r="P467" s="1"/>
      <c r="Q467" s="1"/>
      <c r="R467" s="1"/>
      <c r="S467" s="1"/>
      <c r="T467" s="1"/>
      <c r="U467" s="1"/>
      <c r="V467" s="1"/>
      <c r="W467" s="1"/>
      <c r="X467" s="117"/>
    </row>
    <row r="468" spans="15:24" ht="10" customHeight="1">
      <c r="O468" s="1"/>
      <c r="P468" s="1"/>
      <c r="Q468" s="1"/>
      <c r="R468" s="1"/>
      <c r="S468" s="1"/>
      <c r="T468" s="1"/>
      <c r="U468" s="1"/>
      <c r="V468" s="1"/>
      <c r="W468" s="1"/>
      <c r="X468" s="117"/>
    </row>
    <row r="469" spans="15:24" ht="10" customHeight="1">
      <c r="O469" s="1"/>
      <c r="P469" s="1"/>
      <c r="Q469" s="1"/>
      <c r="R469" s="1"/>
      <c r="S469" s="1"/>
      <c r="T469" s="1"/>
      <c r="U469" s="1"/>
      <c r="V469" s="1"/>
      <c r="W469" s="1"/>
      <c r="X469" s="117"/>
    </row>
    <row r="470" spans="15:24" ht="10" customHeight="1">
      <c r="O470" s="1"/>
      <c r="P470" s="1"/>
      <c r="Q470" s="1"/>
      <c r="R470" s="1"/>
      <c r="S470" s="1"/>
      <c r="T470" s="1"/>
      <c r="U470" s="1"/>
      <c r="V470" s="1"/>
      <c r="W470" s="1"/>
      <c r="X470" s="117"/>
    </row>
    <row r="471" spans="15:24" ht="10" customHeight="1">
      <c r="O471" s="1"/>
      <c r="P471" s="1"/>
      <c r="Q471" s="1"/>
      <c r="R471" s="1"/>
      <c r="S471" s="1"/>
      <c r="T471" s="1"/>
      <c r="U471" s="1"/>
      <c r="V471" s="1"/>
      <c r="W471" s="1"/>
      <c r="X471" s="117"/>
    </row>
    <row r="472" spans="15:24" ht="10" customHeight="1">
      <c r="O472" s="1"/>
      <c r="P472" s="1"/>
      <c r="Q472" s="1"/>
      <c r="R472" s="1"/>
      <c r="S472" s="1"/>
      <c r="T472" s="1"/>
      <c r="U472" s="1"/>
      <c r="V472" s="1"/>
      <c r="W472" s="1"/>
      <c r="X472" s="117"/>
    </row>
    <row r="473" spans="15:24" ht="10" customHeight="1">
      <c r="O473" s="1"/>
      <c r="P473" s="1"/>
      <c r="Q473" s="1"/>
      <c r="R473" s="1"/>
      <c r="S473" s="1"/>
      <c r="T473" s="1"/>
      <c r="U473" s="1"/>
      <c r="V473" s="1"/>
      <c r="W473" s="1"/>
      <c r="X473" s="117"/>
    </row>
    <row r="474" spans="15:24" ht="10" customHeight="1">
      <c r="O474" s="1"/>
      <c r="P474" s="1"/>
      <c r="Q474" s="1"/>
      <c r="R474" s="1"/>
      <c r="S474" s="1"/>
      <c r="T474" s="1"/>
      <c r="U474" s="1"/>
      <c r="V474" s="1"/>
      <c r="W474" s="1"/>
      <c r="X474" s="117"/>
    </row>
    <row r="475" spans="15:24" ht="10" customHeight="1">
      <c r="O475" s="1"/>
      <c r="P475" s="1"/>
      <c r="Q475" s="1"/>
      <c r="R475" s="1"/>
      <c r="S475" s="1"/>
      <c r="T475" s="1"/>
      <c r="U475" s="1"/>
      <c r="V475" s="1"/>
      <c r="W475" s="1"/>
      <c r="X475" s="117"/>
    </row>
    <row r="476" spans="15:24" ht="10" customHeight="1">
      <c r="O476" s="1"/>
      <c r="P476" s="1"/>
      <c r="Q476" s="1"/>
      <c r="R476" s="1"/>
      <c r="S476" s="1"/>
      <c r="T476" s="1"/>
      <c r="U476" s="1"/>
      <c r="V476" s="1"/>
      <c r="W476" s="1"/>
      <c r="X476" s="117"/>
    </row>
    <row r="477" spans="15:24" ht="10" customHeight="1">
      <c r="O477" s="1"/>
      <c r="P477" s="1"/>
      <c r="Q477" s="1"/>
      <c r="R477" s="1"/>
      <c r="S477" s="1"/>
      <c r="T477" s="1"/>
      <c r="U477" s="1"/>
      <c r="V477" s="1"/>
      <c r="W477" s="1"/>
      <c r="X477" s="117"/>
    </row>
    <row r="478" spans="15:24" ht="10" customHeight="1">
      <c r="O478" s="1"/>
      <c r="P478" s="1"/>
      <c r="Q478" s="1"/>
      <c r="R478" s="1"/>
      <c r="S478" s="1"/>
      <c r="T478" s="1"/>
      <c r="U478" s="1"/>
      <c r="V478" s="1"/>
      <c r="W478" s="1"/>
      <c r="X478" s="117"/>
    </row>
    <row r="479" spans="15:24" ht="10" customHeight="1">
      <c r="O479" s="1"/>
      <c r="P479" s="1"/>
      <c r="Q479" s="1"/>
      <c r="R479" s="1"/>
      <c r="S479" s="1"/>
      <c r="T479" s="1"/>
      <c r="U479" s="1"/>
      <c r="V479" s="1"/>
      <c r="W479" s="1"/>
      <c r="X479" s="117"/>
    </row>
    <row r="480" spans="15:24" ht="10" customHeight="1">
      <c r="O480" s="1"/>
      <c r="P480" s="1"/>
      <c r="Q480" s="1"/>
      <c r="R480" s="1"/>
      <c r="S480" s="1"/>
      <c r="T480" s="1"/>
      <c r="U480" s="1"/>
      <c r="V480" s="1"/>
      <c r="W480" s="1"/>
      <c r="X480" s="117"/>
    </row>
    <row r="481" spans="15:24" ht="10" customHeight="1">
      <c r="O481" s="1"/>
      <c r="P481" s="1"/>
      <c r="Q481" s="1"/>
      <c r="R481" s="1"/>
      <c r="S481" s="1"/>
      <c r="T481" s="1"/>
      <c r="U481" s="1"/>
      <c r="V481" s="1"/>
      <c r="W481" s="1"/>
      <c r="X481" s="117"/>
    </row>
    <row r="482" spans="15:24" ht="10" customHeight="1">
      <c r="O482" s="1"/>
      <c r="P482" s="1"/>
      <c r="Q482" s="1"/>
      <c r="R482" s="1"/>
      <c r="S482" s="1"/>
      <c r="T482" s="1"/>
      <c r="U482" s="1"/>
      <c r="V482" s="1"/>
      <c r="W482" s="1"/>
      <c r="X482" s="117"/>
    </row>
    <row r="483" spans="15:24" ht="10" customHeight="1">
      <c r="O483" s="1"/>
      <c r="P483" s="1"/>
      <c r="Q483" s="1"/>
      <c r="R483" s="1"/>
      <c r="S483" s="1"/>
      <c r="T483" s="1"/>
      <c r="U483" s="1"/>
      <c r="V483" s="1"/>
      <c r="W483" s="1"/>
      <c r="X483" s="117"/>
    </row>
    <row r="484" spans="15:24" ht="10" customHeight="1">
      <c r="O484" s="1"/>
      <c r="P484" s="1"/>
      <c r="Q484" s="1"/>
      <c r="R484" s="1"/>
      <c r="S484" s="1"/>
      <c r="T484" s="1"/>
      <c r="U484" s="1"/>
      <c r="V484" s="1"/>
      <c r="W484" s="1"/>
      <c r="X484" s="117"/>
    </row>
    <row r="485" spans="15:24" ht="10" customHeight="1">
      <c r="O485" s="1"/>
      <c r="P485" s="1"/>
      <c r="Q485" s="1"/>
      <c r="R485" s="1"/>
      <c r="S485" s="1"/>
      <c r="T485" s="1"/>
      <c r="U485" s="1"/>
      <c r="V485" s="1"/>
      <c r="W485" s="1"/>
      <c r="X485" s="117"/>
    </row>
    <row r="486" spans="15:24" ht="10" customHeight="1">
      <c r="O486" s="1"/>
      <c r="P486" s="1"/>
      <c r="Q486" s="1"/>
      <c r="R486" s="1"/>
      <c r="S486" s="1"/>
      <c r="T486" s="1"/>
      <c r="U486" s="1"/>
      <c r="V486" s="1"/>
      <c r="W486" s="1"/>
      <c r="X486" s="117"/>
    </row>
    <row r="487" spans="15:24" ht="10" customHeight="1">
      <c r="O487" s="1"/>
      <c r="P487" s="1"/>
      <c r="Q487" s="1"/>
      <c r="R487" s="1"/>
      <c r="S487" s="1"/>
      <c r="T487" s="1"/>
      <c r="U487" s="1"/>
      <c r="V487" s="1"/>
      <c r="W487" s="1"/>
      <c r="X487" s="117"/>
    </row>
    <row r="488" spans="15:24" ht="10" customHeight="1">
      <c r="O488" s="1"/>
      <c r="P488" s="1"/>
      <c r="Q488" s="1"/>
      <c r="R488" s="1"/>
      <c r="S488" s="1"/>
      <c r="T488" s="1"/>
      <c r="U488" s="1"/>
      <c r="V488" s="1"/>
      <c r="W488" s="1"/>
      <c r="X488" s="117"/>
    </row>
    <row r="489" spans="15:24" ht="10" customHeight="1">
      <c r="O489" s="1"/>
      <c r="P489" s="1"/>
      <c r="Q489" s="1"/>
      <c r="R489" s="1"/>
      <c r="S489" s="1"/>
      <c r="T489" s="1"/>
      <c r="U489" s="1"/>
      <c r="V489" s="1"/>
      <c r="W489" s="1"/>
      <c r="X489" s="117"/>
    </row>
    <row r="490" spans="15:24" ht="10" customHeight="1">
      <c r="O490" s="1"/>
      <c r="P490" s="1"/>
      <c r="Q490" s="1"/>
      <c r="R490" s="1"/>
      <c r="S490" s="1"/>
      <c r="T490" s="1"/>
      <c r="U490" s="1"/>
      <c r="V490" s="1"/>
      <c r="W490" s="1"/>
      <c r="X490" s="117"/>
    </row>
    <row r="491" spans="15:24" ht="10" customHeight="1">
      <c r="O491" s="1"/>
      <c r="P491" s="1"/>
      <c r="Q491" s="1"/>
      <c r="R491" s="1"/>
      <c r="S491" s="1"/>
      <c r="T491" s="1"/>
      <c r="U491" s="1"/>
      <c r="V491" s="1"/>
      <c r="W491" s="1"/>
      <c r="X491" s="117"/>
    </row>
    <row r="492" spans="15:24" ht="10" customHeight="1">
      <c r="O492" s="1"/>
      <c r="P492" s="1"/>
      <c r="Q492" s="1"/>
      <c r="R492" s="1"/>
      <c r="S492" s="1"/>
      <c r="T492" s="1"/>
      <c r="U492" s="1"/>
      <c r="V492" s="1"/>
      <c r="W492" s="1"/>
      <c r="X492" s="117"/>
    </row>
    <row r="493" spans="15:24" ht="10" customHeight="1">
      <c r="O493" s="1"/>
      <c r="P493" s="1"/>
      <c r="Q493" s="1"/>
      <c r="R493" s="1"/>
      <c r="S493" s="1"/>
      <c r="T493" s="1"/>
      <c r="U493" s="1"/>
      <c r="V493" s="1"/>
      <c r="W493" s="1"/>
      <c r="X493" s="117"/>
    </row>
    <row r="494" spans="15:24" ht="10" customHeight="1">
      <c r="O494" s="1"/>
      <c r="P494" s="1"/>
      <c r="Q494" s="1"/>
      <c r="R494" s="1"/>
      <c r="S494" s="1"/>
      <c r="T494" s="1"/>
      <c r="U494" s="1"/>
      <c r="V494" s="1"/>
      <c r="W494" s="1"/>
      <c r="X494" s="117"/>
    </row>
    <row r="495" spans="15:24" ht="10" customHeight="1">
      <c r="O495" s="1"/>
      <c r="P495" s="1"/>
      <c r="Q495" s="1"/>
      <c r="R495" s="1"/>
      <c r="S495" s="1"/>
      <c r="T495" s="1"/>
      <c r="U495" s="1"/>
      <c r="V495" s="1"/>
      <c r="W495" s="1"/>
      <c r="X495" s="117"/>
    </row>
    <row r="496" spans="15:24" ht="10" customHeight="1">
      <c r="O496" s="1"/>
      <c r="P496" s="1"/>
      <c r="Q496" s="1"/>
      <c r="R496" s="1"/>
      <c r="S496" s="1"/>
      <c r="T496" s="1"/>
      <c r="U496" s="1"/>
      <c r="V496" s="1"/>
      <c r="W496" s="1"/>
      <c r="X496" s="117"/>
    </row>
    <row r="497" spans="15:24" ht="10" customHeight="1">
      <c r="O497" s="1"/>
      <c r="P497" s="1"/>
      <c r="Q497" s="1"/>
      <c r="R497" s="1"/>
      <c r="S497" s="1"/>
      <c r="T497" s="1"/>
      <c r="U497" s="1"/>
      <c r="V497" s="1"/>
      <c r="W497" s="1"/>
      <c r="X497" s="117"/>
    </row>
    <row r="498" spans="15:24" ht="10" customHeight="1">
      <c r="O498" s="1"/>
      <c r="P498" s="1"/>
      <c r="Q498" s="1"/>
      <c r="R498" s="1"/>
      <c r="S498" s="1"/>
      <c r="T498" s="1"/>
      <c r="U498" s="1"/>
      <c r="V498" s="1"/>
      <c r="W498" s="1"/>
      <c r="X498" s="117"/>
    </row>
    <row r="499" spans="15:24" ht="10" customHeight="1">
      <c r="O499" s="1"/>
      <c r="P499" s="1"/>
      <c r="Q499" s="1"/>
      <c r="R499" s="1"/>
      <c r="S499" s="1"/>
      <c r="T499" s="1"/>
      <c r="U499" s="1"/>
      <c r="V499" s="1"/>
      <c r="W499" s="1"/>
      <c r="X499" s="117"/>
    </row>
    <row r="500" spans="15:24" ht="10" customHeight="1">
      <c r="O500" s="1"/>
      <c r="P500" s="1"/>
      <c r="Q500" s="1"/>
      <c r="R500" s="1"/>
      <c r="S500" s="1"/>
      <c r="T500" s="1"/>
      <c r="U500" s="1"/>
      <c r="V500" s="1"/>
      <c r="W500" s="1"/>
      <c r="X500" s="117"/>
    </row>
    <row r="501" spans="15:24" ht="10" customHeight="1">
      <c r="O501" s="1"/>
      <c r="P501" s="1"/>
      <c r="Q501" s="1"/>
      <c r="R501" s="1"/>
      <c r="S501" s="1"/>
      <c r="T501" s="1"/>
      <c r="U501" s="1"/>
      <c r="V501" s="1"/>
      <c r="W501" s="1"/>
      <c r="X501" s="117"/>
    </row>
    <row r="502" spans="15:24" ht="10" customHeight="1">
      <c r="O502" s="1"/>
      <c r="P502" s="1"/>
      <c r="Q502" s="1"/>
      <c r="R502" s="1"/>
      <c r="S502" s="1"/>
      <c r="T502" s="1"/>
      <c r="U502" s="1"/>
      <c r="V502" s="1"/>
      <c r="W502" s="1"/>
      <c r="X502" s="117"/>
    </row>
    <row r="503" spans="15:24" ht="10" customHeight="1">
      <c r="O503" s="1"/>
      <c r="P503" s="1"/>
      <c r="Q503" s="1"/>
      <c r="R503" s="1"/>
      <c r="S503" s="1"/>
      <c r="T503" s="1"/>
      <c r="U503" s="1"/>
      <c r="V503" s="1"/>
      <c r="W503" s="1"/>
      <c r="X503" s="117"/>
    </row>
    <row r="504" spans="15:24" ht="10" customHeight="1">
      <c r="O504" s="1"/>
      <c r="P504" s="1"/>
      <c r="Q504" s="1"/>
      <c r="R504" s="1"/>
      <c r="S504" s="1"/>
      <c r="T504" s="1"/>
      <c r="U504" s="1"/>
      <c r="V504" s="1"/>
      <c r="W504" s="1"/>
      <c r="X504" s="117"/>
    </row>
    <row r="505" spans="15:24" ht="10" customHeight="1">
      <c r="O505" s="1"/>
      <c r="P505" s="1"/>
      <c r="Q505" s="1"/>
      <c r="R505" s="1"/>
      <c r="S505" s="1"/>
      <c r="T505" s="1"/>
      <c r="U505" s="1"/>
      <c r="V505" s="1"/>
      <c r="W505" s="1"/>
      <c r="X505" s="117"/>
    </row>
    <row r="506" spans="15:24" ht="10" customHeight="1">
      <c r="O506" s="1"/>
      <c r="P506" s="1"/>
      <c r="Q506" s="1"/>
      <c r="R506" s="1"/>
      <c r="S506" s="1"/>
      <c r="T506" s="1"/>
      <c r="U506" s="1"/>
      <c r="V506" s="1"/>
      <c r="W506" s="1"/>
      <c r="X506" s="117"/>
    </row>
    <row r="507" spans="15:24" ht="10" customHeight="1">
      <c r="O507" s="1"/>
      <c r="P507" s="1"/>
      <c r="Q507" s="1"/>
      <c r="R507" s="1"/>
      <c r="S507" s="1"/>
      <c r="T507" s="1"/>
      <c r="U507" s="1"/>
      <c r="V507" s="1"/>
      <c r="W507" s="1"/>
      <c r="X507" s="117"/>
    </row>
    <row r="508" spans="15:24" ht="10" customHeight="1">
      <c r="O508" s="1"/>
      <c r="P508" s="1"/>
      <c r="Q508" s="1"/>
      <c r="R508" s="1"/>
      <c r="S508" s="1"/>
      <c r="T508" s="1"/>
      <c r="U508" s="1"/>
      <c r="V508" s="1"/>
      <c r="W508" s="1"/>
      <c r="X508" s="117"/>
    </row>
    <row r="509" spans="15:24" ht="10" customHeight="1">
      <c r="O509" s="1"/>
      <c r="P509" s="1"/>
      <c r="Q509" s="1"/>
      <c r="R509" s="1"/>
      <c r="S509" s="1"/>
      <c r="T509" s="1"/>
      <c r="U509" s="1"/>
      <c r="V509" s="1"/>
      <c r="W509" s="1"/>
      <c r="X509" s="117"/>
    </row>
    <row r="510" spans="15:24" ht="10" customHeight="1">
      <c r="O510" s="1"/>
      <c r="P510" s="1"/>
      <c r="Q510" s="1"/>
      <c r="R510" s="1"/>
      <c r="S510" s="1"/>
      <c r="T510" s="1"/>
      <c r="U510" s="1"/>
      <c r="V510" s="1"/>
      <c r="W510" s="1"/>
      <c r="X510" s="117"/>
    </row>
    <row r="511" spans="15:24" ht="10" customHeight="1">
      <c r="O511" s="1"/>
      <c r="P511" s="1"/>
      <c r="Q511" s="1"/>
      <c r="R511" s="1"/>
      <c r="S511" s="1"/>
      <c r="T511" s="1"/>
      <c r="U511" s="1"/>
      <c r="V511" s="1"/>
      <c r="W511" s="1"/>
      <c r="X511" s="117"/>
    </row>
    <row r="512" spans="15:24" ht="10" customHeight="1">
      <c r="O512" s="1"/>
      <c r="P512" s="1"/>
      <c r="Q512" s="1"/>
      <c r="R512" s="1"/>
      <c r="S512" s="1"/>
      <c r="T512" s="1"/>
      <c r="U512" s="1"/>
      <c r="V512" s="1"/>
      <c r="W512" s="1"/>
      <c r="X512" s="117"/>
    </row>
    <row r="513" spans="15:24" ht="10" customHeight="1">
      <c r="O513" s="1"/>
      <c r="P513" s="1"/>
      <c r="Q513" s="1"/>
      <c r="R513" s="1"/>
      <c r="S513" s="1"/>
      <c r="T513" s="1"/>
      <c r="U513" s="1"/>
      <c r="V513" s="1"/>
      <c r="W513" s="1"/>
      <c r="X513" s="117"/>
    </row>
    <row r="514" spans="15:24" ht="10" customHeight="1">
      <c r="O514" s="1"/>
      <c r="P514" s="1"/>
      <c r="Q514" s="1"/>
      <c r="R514" s="1"/>
      <c r="S514" s="1"/>
      <c r="T514" s="1"/>
      <c r="U514" s="1"/>
      <c r="V514" s="1"/>
      <c r="W514" s="1"/>
      <c r="X514" s="117"/>
    </row>
    <row r="515" spans="15:24" ht="10" customHeight="1">
      <c r="O515" s="1"/>
      <c r="P515" s="1"/>
      <c r="Q515" s="1"/>
      <c r="R515" s="1"/>
      <c r="S515" s="1"/>
      <c r="T515" s="1"/>
      <c r="U515" s="1"/>
      <c r="V515" s="1"/>
      <c r="W515" s="1"/>
      <c r="X515" s="117"/>
    </row>
    <row r="516" spans="15:24" ht="10" customHeight="1">
      <c r="O516" s="1"/>
      <c r="P516" s="1"/>
      <c r="Q516" s="1"/>
      <c r="R516" s="1"/>
      <c r="S516" s="1"/>
      <c r="T516" s="1"/>
      <c r="U516" s="1"/>
      <c r="V516" s="1"/>
      <c r="W516" s="1"/>
      <c r="X516" s="117"/>
    </row>
    <row r="517" spans="15:24" ht="10" customHeight="1">
      <c r="O517" s="1"/>
      <c r="P517" s="1"/>
      <c r="Q517" s="1"/>
      <c r="R517" s="1"/>
      <c r="S517" s="1"/>
      <c r="T517" s="1"/>
      <c r="U517" s="1"/>
      <c r="V517" s="1"/>
      <c r="W517" s="1"/>
      <c r="X517" s="117"/>
    </row>
    <row r="518" spans="15:24" ht="10" customHeight="1">
      <c r="O518" s="1"/>
      <c r="P518" s="1"/>
      <c r="Q518" s="1"/>
      <c r="R518" s="1"/>
      <c r="S518" s="1"/>
      <c r="T518" s="1"/>
      <c r="U518" s="1"/>
      <c r="V518" s="1"/>
      <c r="W518" s="1"/>
      <c r="X518" s="117"/>
    </row>
    <row r="519" spans="15:24" ht="10" customHeight="1">
      <c r="O519" s="1"/>
      <c r="P519" s="1"/>
      <c r="Q519" s="1"/>
      <c r="R519" s="1"/>
      <c r="S519" s="1"/>
      <c r="T519" s="1"/>
      <c r="U519" s="1"/>
      <c r="V519" s="1"/>
      <c r="W519" s="1"/>
      <c r="X519" s="117"/>
    </row>
    <row r="520" spans="15:24" ht="10" customHeight="1">
      <c r="O520" s="1"/>
      <c r="P520" s="1"/>
      <c r="Q520" s="1"/>
      <c r="R520" s="1"/>
      <c r="S520" s="1"/>
      <c r="T520" s="1"/>
      <c r="U520" s="1"/>
      <c r="V520" s="1"/>
      <c r="W520" s="1"/>
      <c r="X520" s="117"/>
    </row>
    <row r="521" spans="15:24" ht="10" customHeight="1">
      <c r="O521" s="1"/>
      <c r="P521" s="1"/>
      <c r="Q521" s="1"/>
      <c r="R521" s="1"/>
      <c r="S521" s="1"/>
      <c r="T521" s="1"/>
      <c r="U521" s="1"/>
      <c r="V521" s="1"/>
      <c r="W521" s="1"/>
      <c r="X521" s="117"/>
    </row>
    <row r="522" spans="15:24" ht="10" customHeight="1">
      <c r="O522" s="1"/>
      <c r="P522" s="1"/>
      <c r="Q522" s="1"/>
      <c r="R522" s="1"/>
      <c r="S522" s="1"/>
      <c r="T522" s="1"/>
      <c r="U522" s="1"/>
      <c r="V522" s="1"/>
      <c r="W522" s="1"/>
      <c r="X522" s="117"/>
    </row>
    <row r="523" spans="15:24" ht="10" customHeight="1">
      <c r="O523" s="1"/>
      <c r="P523" s="1"/>
      <c r="Q523" s="1"/>
      <c r="R523" s="1"/>
      <c r="S523" s="1"/>
      <c r="T523" s="1"/>
      <c r="U523" s="1"/>
      <c r="V523" s="1"/>
      <c r="W523" s="1"/>
      <c r="X523" s="117"/>
    </row>
    <row r="524" spans="15:24" ht="10" customHeight="1">
      <c r="O524" s="1"/>
      <c r="P524" s="1"/>
      <c r="Q524" s="1"/>
      <c r="R524" s="1"/>
      <c r="S524" s="1"/>
      <c r="T524" s="1"/>
      <c r="U524" s="1"/>
      <c r="V524" s="1"/>
      <c r="W524" s="1"/>
      <c r="X524" s="117"/>
    </row>
    <row r="525" spans="15:24" ht="10" customHeight="1">
      <c r="O525" s="1"/>
      <c r="P525" s="1"/>
      <c r="Q525" s="1"/>
      <c r="R525" s="1"/>
      <c r="S525" s="1"/>
      <c r="T525" s="1"/>
      <c r="U525" s="1"/>
      <c r="V525" s="1"/>
      <c r="W525" s="1"/>
      <c r="X525" s="117"/>
    </row>
    <row r="526" spans="15:24" ht="10" customHeight="1">
      <c r="O526" s="1"/>
      <c r="P526" s="1"/>
      <c r="Q526" s="1"/>
      <c r="R526" s="1"/>
      <c r="S526" s="1"/>
      <c r="T526" s="1"/>
      <c r="U526" s="1"/>
      <c r="V526" s="1"/>
      <c r="W526" s="1"/>
      <c r="X526" s="117"/>
    </row>
    <row r="527" spans="15:24" ht="10" customHeight="1">
      <c r="O527" s="1"/>
      <c r="P527" s="1"/>
      <c r="Q527" s="1"/>
      <c r="R527" s="1"/>
      <c r="S527" s="1"/>
      <c r="T527" s="1"/>
      <c r="U527" s="1"/>
      <c r="V527" s="1"/>
      <c r="W527" s="1"/>
      <c r="X527" s="117"/>
    </row>
    <row r="528" spans="15:24" ht="10" customHeight="1">
      <c r="O528" s="1"/>
      <c r="P528" s="1"/>
      <c r="Q528" s="1"/>
      <c r="R528" s="1"/>
      <c r="S528" s="1"/>
      <c r="T528" s="1"/>
      <c r="U528" s="1"/>
      <c r="V528" s="1"/>
      <c r="W528" s="1"/>
      <c r="X528" s="117"/>
    </row>
    <row r="529" spans="15:24" ht="10" customHeight="1">
      <c r="O529" s="1"/>
      <c r="P529" s="1"/>
      <c r="Q529" s="1"/>
      <c r="R529" s="1"/>
      <c r="S529" s="1"/>
      <c r="T529" s="1"/>
      <c r="U529" s="1"/>
      <c r="V529" s="1"/>
      <c r="W529" s="1"/>
      <c r="X529" s="117"/>
    </row>
    <row r="530" spans="15:24" ht="10" customHeight="1">
      <c r="O530" s="1"/>
      <c r="P530" s="1"/>
      <c r="Q530" s="1"/>
      <c r="R530" s="1"/>
      <c r="S530" s="1"/>
      <c r="T530" s="1"/>
      <c r="U530" s="1"/>
      <c r="V530" s="1"/>
      <c r="W530" s="1"/>
      <c r="X530" s="117"/>
    </row>
    <row r="531" spans="15:24" ht="10" customHeight="1">
      <c r="O531" s="1"/>
      <c r="P531" s="1"/>
      <c r="Q531" s="1"/>
      <c r="R531" s="1"/>
      <c r="S531" s="1"/>
      <c r="T531" s="1"/>
      <c r="U531" s="1"/>
      <c r="V531" s="1"/>
      <c r="W531" s="1"/>
      <c r="X531" s="117"/>
    </row>
    <row r="532" spans="15:24" ht="10" customHeight="1">
      <c r="O532" s="1"/>
      <c r="P532" s="1"/>
      <c r="Q532" s="1"/>
      <c r="R532" s="1"/>
      <c r="S532" s="1"/>
      <c r="T532" s="1"/>
      <c r="U532" s="1"/>
      <c r="V532" s="1"/>
      <c r="W532" s="1"/>
      <c r="X532" s="117"/>
    </row>
    <row r="533" spans="15:24" ht="10" customHeight="1">
      <c r="O533" s="1"/>
      <c r="P533" s="1"/>
      <c r="Q533" s="1"/>
      <c r="R533" s="1"/>
      <c r="S533" s="1"/>
      <c r="T533" s="1"/>
      <c r="U533" s="1"/>
      <c r="V533" s="1"/>
      <c r="W533" s="1"/>
      <c r="X533" s="117"/>
    </row>
    <row r="534" spans="15:24" ht="10" customHeight="1">
      <c r="O534" s="1"/>
      <c r="P534" s="1"/>
      <c r="Q534" s="1"/>
      <c r="R534" s="1"/>
      <c r="S534" s="1"/>
      <c r="T534" s="1"/>
      <c r="U534" s="1"/>
      <c r="V534" s="1"/>
      <c r="W534" s="1"/>
      <c r="X534" s="117"/>
    </row>
    <row r="535" spans="15:24" ht="10" customHeight="1">
      <c r="O535" s="1"/>
      <c r="P535" s="1"/>
      <c r="Q535" s="1"/>
      <c r="R535" s="1"/>
      <c r="S535" s="1"/>
      <c r="T535" s="1"/>
      <c r="U535" s="1"/>
      <c r="V535" s="1"/>
      <c r="W535" s="1"/>
      <c r="X535" s="117"/>
    </row>
    <row r="536" spans="15:24" ht="10" customHeight="1">
      <c r="O536" s="1"/>
      <c r="P536" s="1"/>
      <c r="Q536" s="1"/>
      <c r="R536" s="1"/>
      <c r="S536" s="1"/>
      <c r="T536" s="1"/>
      <c r="U536" s="1"/>
      <c r="V536" s="1"/>
      <c r="W536" s="1"/>
      <c r="X536" s="117"/>
    </row>
    <row r="537" spans="15:24" ht="10" customHeight="1">
      <c r="O537" s="1"/>
      <c r="P537" s="1"/>
      <c r="Q537" s="1"/>
      <c r="R537" s="1"/>
      <c r="S537" s="1"/>
      <c r="T537" s="1"/>
      <c r="U537" s="1"/>
      <c r="V537" s="1"/>
      <c r="W537" s="1"/>
      <c r="X537" s="117"/>
    </row>
    <row r="538" spans="15:24" ht="10" customHeight="1">
      <c r="O538" s="1"/>
      <c r="P538" s="1"/>
      <c r="Q538" s="1"/>
      <c r="R538" s="1"/>
      <c r="S538" s="1"/>
      <c r="T538" s="1"/>
      <c r="U538" s="1"/>
      <c r="V538" s="1"/>
      <c r="W538" s="1"/>
      <c r="X538" s="117"/>
    </row>
    <row r="539" spans="15:24" ht="10" customHeight="1">
      <c r="O539" s="1"/>
      <c r="P539" s="1"/>
      <c r="Q539" s="1"/>
      <c r="R539" s="1"/>
      <c r="S539" s="1"/>
      <c r="T539" s="1"/>
      <c r="U539" s="1"/>
      <c r="V539" s="1"/>
      <c r="W539" s="1"/>
      <c r="X539" s="117"/>
    </row>
    <row r="540" spans="15:24" ht="10" customHeight="1">
      <c r="O540" s="1"/>
      <c r="P540" s="1"/>
      <c r="Q540" s="1"/>
      <c r="R540" s="1"/>
      <c r="S540" s="1"/>
      <c r="T540" s="1"/>
      <c r="U540" s="1"/>
      <c r="V540" s="1"/>
      <c r="W540" s="1"/>
      <c r="X540" s="117"/>
    </row>
    <row r="541" spans="15:24" ht="10" customHeight="1">
      <c r="O541" s="1"/>
      <c r="P541" s="1"/>
      <c r="Q541" s="1"/>
      <c r="R541" s="1"/>
      <c r="S541" s="1"/>
      <c r="T541" s="1"/>
      <c r="U541" s="1"/>
      <c r="V541" s="1"/>
      <c r="W541" s="1"/>
      <c r="X541" s="117"/>
    </row>
    <row r="542" spans="15:24" ht="10" customHeight="1">
      <c r="O542" s="1"/>
      <c r="P542" s="1"/>
      <c r="Q542" s="1"/>
      <c r="R542" s="1"/>
      <c r="S542" s="1"/>
      <c r="T542" s="1"/>
      <c r="U542" s="1"/>
      <c r="V542" s="1"/>
      <c r="W542" s="1"/>
      <c r="X542" s="117"/>
    </row>
    <row r="543" spans="15:24" ht="10" customHeight="1">
      <c r="O543" s="1"/>
      <c r="P543" s="1"/>
      <c r="Q543" s="1"/>
      <c r="R543" s="1"/>
      <c r="S543" s="1"/>
      <c r="T543" s="1"/>
      <c r="U543" s="1"/>
      <c r="V543" s="1"/>
      <c r="W543" s="1"/>
      <c r="X543" s="117"/>
    </row>
    <row r="544" spans="15:24" ht="10" customHeight="1">
      <c r="O544" s="1"/>
      <c r="P544" s="1"/>
      <c r="Q544" s="1"/>
      <c r="R544" s="1"/>
      <c r="S544" s="1"/>
      <c r="T544" s="1"/>
      <c r="U544" s="1"/>
      <c r="V544" s="1"/>
      <c r="W544" s="1"/>
      <c r="X544" s="117"/>
    </row>
    <row r="545" spans="15:24" ht="10" customHeight="1">
      <c r="O545" s="1"/>
      <c r="P545" s="1"/>
      <c r="Q545" s="1"/>
      <c r="R545" s="1"/>
      <c r="S545" s="1"/>
      <c r="T545" s="1"/>
      <c r="U545" s="1"/>
      <c r="V545" s="1"/>
      <c r="W545" s="1"/>
      <c r="X545" s="117"/>
    </row>
    <row r="546" spans="15:24" ht="10" customHeight="1">
      <c r="O546" s="1"/>
      <c r="P546" s="1"/>
      <c r="Q546" s="1"/>
      <c r="R546" s="1"/>
      <c r="S546" s="1"/>
      <c r="T546" s="1"/>
      <c r="U546" s="1"/>
      <c r="V546" s="1"/>
      <c r="W546" s="1"/>
      <c r="X546" s="117"/>
    </row>
    <row r="547" spans="15:24" ht="10" customHeight="1">
      <c r="O547" s="1"/>
      <c r="P547" s="1"/>
      <c r="Q547" s="1"/>
      <c r="R547" s="1"/>
      <c r="S547" s="1"/>
      <c r="T547" s="1"/>
      <c r="U547" s="1"/>
      <c r="V547" s="1"/>
      <c r="W547" s="1"/>
      <c r="X547" s="117"/>
    </row>
    <row r="548" spans="15:24" ht="10" customHeight="1">
      <c r="O548" s="1"/>
      <c r="P548" s="1"/>
      <c r="Q548" s="1"/>
      <c r="R548" s="1"/>
      <c r="S548" s="1"/>
      <c r="T548" s="1"/>
      <c r="U548" s="1"/>
      <c r="V548" s="1"/>
      <c r="W548" s="1"/>
      <c r="X548" s="117"/>
    </row>
    <row r="549" spans="15:24" ht="10" customHeight="1">
      <c r="O549" s="1"/>
      <c r="P549" s="1"/>
      <c r="Q549" s="1"/>
      <c r="R549" s="1"/>
      <c r="S549" s="1"/>
      <c r="T549" s="1"/>
      <c r="U549" s="1"/>
      <c r="V549" s="1"/>
      <c r="W549" s="1"/>
      <c r="X549" s="117"/>
    </row>
    <row r="550" spans="15:24" ht="10" customHeight="1">
      <c r="O550" s="1"/>
      <c r="P550" s="1"/>
      <c r="Q550" s="1"/>
      <c r="R550" s="1"/>
      <c r="S550" s="1"/>
      <c r="T550" s="1"/>
      <c r="U550" s="1"/>
      <c r="V550" s="1"/>
      <c r="W550" s="1"/>
      <c r="X550" s="117"/>
    </row>
    <row r="551" spans="15:24" ht="10" customHeight="1">
      <c r="O551" s="1"/>
      <c r="P551" s="1"/>
      <c r="Q551" s="1"/>
      <c r="R551" s="1"/>
      <c r="S551" s="1"/>
      <c r="T551" s="1"/>
      <c r="U551" s="1"/>
      <c r="V551" s="1"/>
      <c r="W551" s="1"/>
      <c r="X551" s="117"/>
    </row>
    <row r="552" spans="15:24" ht="10" customHeight="1">
      <c r="O552" s="1"/>
      <c r="P552" s="1"/>
      <c r="Q552" s="1"/>
      <c r="R552" s="1"/>
      <c r="S552" s="1"/>
      <c r="T552" s="1"/>
      <c r="U552" s="1"/>
      <c r="V552" s="1"/>
      <c r="W552" s="1"/>
      <c r="X552" s="117"/>
    </row>
    <row r="553" spans="15:24" ht="10" customHeight="1">
      <c r="O553" s="1"/>
      <c r="P553" s="1"/>
      <c r="Q553" s="1"/>
      <c r="R553" s="1"/>
      <c r="S553" s="1"/>
      <c r="T553" s="1"/>
      <c r="U553" s="1"/>
      <c r="V553" s="1"/>
      <c r="W553" s="1"/>
      <c r="X553" s="117"/>
    </row>
    <row r="554" spans="15:24" ht="10" customHeight="1">
      <c r="O554" s="1"/>
      <c r="P554" s="1"/>
      <c r="Q554" s="1"/>
      <c r="R554" s="1"/>
      <c r="S554" s="1"/>
      <c r="T554" s="1"/>
      <c r="U554" s="1"/>
      <c r="V554" s="1"/>
      <c r="W554" s="1"/>
      <c r="X554" s="117"/>
    </row>
    <row r="555" spans="15:24" ht="10" customHeight="1">
      <c r="O555" s="1"/>
      <c r="P555" s="1"/>
      <c r="Q555" s="1"/>
      <c r="R555" s="1"/>
      <c r="S555" s="1"/>
      <c r="T555" s="1"/>
      <c r="U555" s="1"/>
      <c r="V555" s="1"/>
      <c r="W555" s="1"/>
      <c r="X555" s="117"/>
    </row>
    <row r="556" spans="15:24" ht="10" customHeight="1">
      <c r="O556" s="1"/>
      <c r="P556" s="1"/>
      <c r="Q556" s="1"/>
      <c r="R556" s="1"/>
      <c r="S556" s="1"/>
      <c r="T556" s="1"/>
      <c r="U556" s="1"/>
      <c r="V556" s="1"/>
      <c r="W556" s="1"/>
      <c r="X556" s="117"/>
    </row>
    <row r="557" spans="15:24" ht="10" customHeight="1">
      <c r="O557" s="1"/>
      <c r="P557" s="1"/>
      <c r="Q557" s="1"/>
      <c r="R557" s="1"/>
      <c r="S557" s="1"/>
      <c r="T557" s="1"/>
      <c r="U557" s="1"/>
      <c r="V557" s="1"/>
      <c r="W557" s="1"/>
      <c r="X557" s="117"/>
    </row>
    <row r="558" spans="15:24" ht="10" customHeight="1">
      <c r="O558" s="1"/>
      <c r="P558" s="1"/>
      <c r="Q558" s="1"/>
      <c r="R558" s="1"/>
      <c r="S558" s="1"/>
      <c r="T558" s="1"/>
      <c r="U558" s="1"/>
      <c r="V558" s="1"/>
      <c r="W558" s="1"/>
      <c r="X558" s="117"/>
    </row>
    <row r="559" spans="15:24" ht="10" customHeight="1">
      <c r="O559" s="1"/>
      <c r="P559" s="1"/>
      <c r="Q559" s="1"/>
      <c r="R559" s="1"/>
      <c r="S559" s="1"/>
      <c r="T559" s="1"/>
      <c r="U559" s="1"/>
      <c r="V559" s="1"/>
      <c r="W559" s="1"/>
      <c r="X559" s="117"/>
    </row>
    <row r="560" spans="15:24" ht="10" customHeight="1">
      <c r="O560" s="1"/>
      <c r="P560" s="1"/>
      <c r="Q560" s="1"/>
      <c r="R560" s="1"/>
      <c r="S560" s="1"/>
      <c r="T560" s="1"/>
      <c r="U560" s="1"/>
      <c r="V560" s="1"/>
      <c r="W560" s="1"/>
      <c r="X560" s="117"/>
    </row>
    <row r="561" spans="15:24" ht="10" customHeight="1">
      <c r="O561" s="1"/>
      <c r="P561" s="1"/>
      <c r="Q561" s="1"/>
      <c r="R561" s="1"/>
      <c r="S561" s="1"/>
      <c r="T561" s="1"/>
      <c r="U561" s="1"/>
      <c r="V561" s="1"/>
      <c r="W561" s="1"/>
      <c r="X561" s="117"/>
    </row>
    <row r="562" spans="15:24" ht="10" customHeight="1">
      <c r="O562" s="1"/>
      <c r="P562" s="1"/>
      <c r="Q562" s="1"/>
      <c r="R562" s="1"/>
      <c r="S562" s="1"/>
      <c r="T562" s="1"/>
      <c r="U562" s="1"/>
      <c r="V562" s="1"/>
      <c r="W562" s="1"/>
      <c r="X562" s="117"/>
    </row>
    <row r="563" spans="15:24" ht="10" customHeight="1">
      <c r="O563" s="1"/>
      <c r="P563" s="1"/>
      <c r="Q563" s="1"/>
      <c r="R563" s="1"/>
      <c r="S563" s="1"/>
      <c r="T563" s="1"/>
      <c r="U563" s="1"/>
      <c r="V563" s="1"/>
      <c r="W563" s="1"/>
      <c r="X563" s="117"/>
    </row>
    <row r="564" spans="15:24" ht="10" customHeight="1">
      <c r="O564" s="1"/>
      <c r="P564" s="1"/>
      <c r="Q564" s="1"/>
      <c r="R564" s="1"/>
      <c r="S564" s="1"/>
      <c r="T564" s="1"/>
      <c r="U564" s="1"/>
      <c r="V564" s="1"/>
      <c r="W564" s="1"/>
      <c r="X564" s="117"/>
    </row>
    <row r="565" spans="15:24" ht="10" customHeight="1">
      <c r="O565" s="1"/>
      <c r="P565" s="1"/>
      <c r="Q565" s="1"/>
      <c r="R565" s="1"/>
      <c r="S565" s="1"/>
      <c r="T565" s="1"/>
      <c r="U565" s="1"/>
      <c r="V565" s="1"/>
      <c r="W565" s="1"/>
      <c r="X565" s="117"/>
    </row>
    <row r="566" spans="15:24" ht="10" customHeight="1">
      <c r="O566" s="1"/>
      <c r="P566" s="1"/>
      <c r="Q566" s="1"/>
      <c r="R566" s="1"/>
      <c r="S566" s="1"/>
      <c r="T566" s="1"/>
      <c r="U566" s="1"/>
      <c r="V566" s="1"/>
      <c r="W566" s="1"/>
      <c r="X566" s="117"/>
    </row>
    <row r="567" spans="15:24" ht="10" customHeight="1">
      <c r="O567" s="1"/>
      <c r="P567" s="1"/>
      <c r="Q567" s="1"/>
      <c r="R567" s="1"/>
      <c r="S567" s="1"/>
      <c r="T567" s="1"/>
      <c r="U567" s="1"/>
      <c r="V567" s="1"/>
      <c r="W567" s="1"/>
      <c r="X567" s="117"/>
    </row>
    <row r="568" spans="15:24" ht="10" customHeight="1">
      <c r="O568" s="1"/>
      <c r="P568" s="1"/>
      <c r="Q568" s="1"/>
      <c r="R568" s="1"/>
      <c r="S568" s="1"/>
      <c r="T568" s="1"/>
      <c r="U568" s="1"/>
      <c r="V568" s="1"/>
      <c r="W568" s="1"/>
      <c r="X568" s="117"/>
    </row>
    <row r="569" spans="15:24" ht="10" customHeight="1">
      <c r="O569" s="1"/>
      <c r="P569" s="1"/>
      <c r="Q569" s="1"/>
      <c r="R569" s="1"/>
      <c r="S569" s="1"/>
      <c r="T569" s="1"/>
      <c r="U569" s="1"/>
      <c r="V569" s="1"/>
      <c r="W569" s="1"/>
      <c r="X569" s="117"/>
    </row>
    <row r="570" spans="15:24" ht="10" customHeight="1">
      <c r="O570" s="1"/>
      <c r="P570" s="1"/>
      <c r="Q570" s="1"/>
      <c r="R570" s="1"/>
      <c r="S570" s="1"/>
      <c r="T570" s="1"/>
      <c r="U570" s="1"/>
      <c r="V570" s="1"/>
      <c r="W570" s="1"/>
      <c r="X570" s="117"/>
    </row>
    <row r="571" spans="15:24" ht="10" customHeight="1">
      <c r="O571" s="1"/>
      <c r="P571" s="1"/>
      <c r="Q571" s="1"/>
      <c r="R571" s="1"/>
      <c r="S571" s="1"/>
      <c r="T571" s="1"/>
      <c r="U571" s="1"/>
      <c r="V571" s="1"/>
      <c r="W571" s="1"/>
      <c r="X571" s="117"/>
    </row>
    <row r="572" spans="15:24" ht="10" customHeight="1">
      <c r="O572" s="1"/>
      <c r="P572" s="1"/>
      <c r="Q572" s="1"/>
      <c r="R572" s="1"/>
      <c r="S572" s="1"/>
      <c r="T572" s="1"/>
      <c r="U572" s="1"/>
      <c r="V572" s="1"/>
      <c r="W572" s="1"/>
      <c r="X572" s="117"/>
    </row>
    <row r="573" spans="15:24" ht="10" customHeight="1">
      <c r="O573" s="1"/>
      <c r="P573" s="1"/>
      <c r="Q573" s="1"/>
      <c r="R573" s="1"/>
      <c r="S573" s="1"/>
      <c r="T573" s="1"/>
      <c r="U573" s="1"/>
      <c r="V573" s="1"/>
      <c r="W573" s="1"/>
      <c r="X573" s="117"/>
    </row>
    <row r="574" spans="15:24" ht="10" customHeight="1">
      <c r="O574" s="1"/>
      <c r="P574" s="1"/>
      <c r="Q574" s="1"/>
      <c r="R574" s="1"/>
      <c r="S574" s="1"/>
      <c r="T574" s="1"/>
      <c r="U574" s="1"/>
      <c r="V574" s="1"/>
      <c r="W574" s="1"/>
      <c r="X574" s="117"/>
    </row>
    <row r="575" spans="15:24" ht="10" customHeight="1">
      <c r="O575" s="1"/>
      <c r="P575" s="1"/>
      <c r="Q575" s="1"/>
      <c r="R575" s="1"/>
      <c r="S575" s="1"/>
      <c r="T575" s="1"/>
      <c r="U575" s="1"/>
      <c r="V575" s="1"/>
      <c r="W575" s="1"/>
      <c r="X575" s="117"/>
    </row>
    <row r="576" spans="15:24" ht="10" customHeight="1">
      <c r="O576" s="1"/>
      <c r="P576" s="1"/>
      <c r="Q576" s="1"/>
      <c r="R576" s="1"/>
      <c r="S576" s="1"/>
      <c r="T576" s="1"/>
      <c r="U576" s="1"/>
      <c r="V576" s="1"/>
      <c r="W576" s="1"/>
      <c r="X576" s="117"/>
    </row>
    <row r="577" spans="15:24" ht="10" customHeight="1">
      <c r="O577" s="1"/>
      <c r="P577" s="1"/>
      <c r="Q577" s="1"/>
      <c r="R577" s="1"/>
      <c r="S577" s="1"/>
      <c r="T577" s="1"/>
      <c r="U577" s="1"/>
      <c r="V577" s="1"/>
      <c r="W577" s="1"/>
      <c r="X577" s="117"/>
    </row>
    <row r="578" spans="15:24" ht="10" customHeight="1">
      <c r="O578" s="1"/>
      <c r="P578" s="1"/>
      <c r="Q578" s="1"/>
      <c r="R578" s="1"/>
      <c r="S578" s="1"/>
      <c r="T578" s="1"/>
      <c r="U578" s="1"/>
      <c r="V578" s="1"/>
      <c r="W578" s="1"/>
      <c r="X578" s="117"/>
    </row>
    <row r="579" spans="15:24" ht="10" customHeight="1">
      <c r="O579" s="1"/>
      <c r="P579" s="1"/>
      <c r="Q579" s="1"/>
      <c r="R579" s="1"/>
      <c r="S579" s="1"/>
      <c r="T579" s="1"/>
      <c r="U579" s="1"/>
      <c r="V579" s="1"/>
      <c r="W579" s="1"/>
      <c r="X579" s="117"/>
    </row>
    <row r="580" spans="15:24" ht="10" customHeight="1">
      <c r="O580" s="1"/>
      <c r="P580" s="1"/>
      <c r="Q580" s="1"/>
      <c r="R580" s="1"/>
      <c r="S580" s="1"/>
      <c r="T580" s="1"/>
      <c r="U580" s="1"/>
      <c r="V580" s="1"/>
      <c r="W580" s="1"/>
      <c r="X580" s="117"/>
    </row>
    <row r="581" spans="15:24" ht="10" customHeight="1">
      <c r="O581" s="1"/>
      <c r="P581" s="1"/>
      <c r="Q581" s="1"/>
      <c r="R581" s="1"/>
      <c r="S581" s="1"/>
      <c r="T581" s="1"/>
      <c r="U581" s="1"/>
      <c r="V581" s="1"/>
      <c r="W581" s="1"/>
      <c r="X581" s="117"/>
    </row>
    <row r="582" spans="15:24" ht="10" customHeight="1">
      <c r="O582" s="1"/>
      <c r="P582" s="1"/>
      <c r="Q582" s="1"/>
      <c r="R582" s="1"/>
      <c r="S582" s="1"/>
      <c r="T582" s="1"/>
      <c r="U582" s="1"/>
      <c r="V582" s="1"/>
      <c r="W582" s="1"/>
      <c r="X582" s="117"/>
    </row>
    <row r="583" spans="15:24" ht="10" customHeight="1">
      <c r="O583" s="1"/>
      <c r="P583" s="1"/>
      <c r="Q583" s="1"/>
      <c r="R583" s="1"/>
      <c r="S583" s="1"/>
      <c r="T583" s="1"/>
      <c r="U583" s="1"/>
      <c r="V583" s="1"/>
      <c r="W583" s="1"/>
      <c r="X583" s="117"/>
    </row>
    <row r="584" spans="15:24" ht="10" customHeight="1">
      <c r="O584" s="1"/>
      <c r="P584" s="1"/>
      <c r="Q584" s="1"/>
      <c r="R584" s="1"/>
      <c r="S584" s="1"/>
      <c r="T584" s="1"/>
      <c r="U584" s="1"/>
      <c r="V584" s="1"/>
      <c r="W584" s="1"/>
      <c r="X584" s="117"/>
    </row>
    <row r="585" spans="15:24" ht="10" customHeight="1">
      <c r="O585" s="1"/>
      <c r="P585" s="1"/>
      <c r="Q585" s="1"/>
      <c r="R585" s="1"/>
      <c r="S585" s="1"/>
      <c r="T585" s="1"/>
      <c r="U585" s="1"/>
      <c r="V585" s="1"/>
      <c r="W585" s="1"/>
      <c r="X585" s="117"/>
    </row>
    <row r="586" spans="15:24" ht="10" customHeight="1">
      <c r="O586" s="1"/>
      <c r="P586" s="1"/>
      <c r="Q586" s="1"/>
      <c r="R586" s="1"/>
      <c r="S586" s="1"/>
      <c r="T586" s="1"/>
      <c r="U586" s="1"/>
      <c r="V586" s="1"/>
      <c r="W586" s="1"/>
      <c r="X586" s="117"/>
    </row>
    <row r="587" spans="15:24" ht="10" customHeight="1">
      <c r="O587" s="1"/>
      <c r="P587" s="1"/>
      <c r="Q587" s="1"/>
      <c r="R587" s="1"/>
      <c r="S587" s="1"/>
      <c r="T587" s="1"/>
      <c r="U587" s="1"/>
      <c r="V587" s="1"/>
      <c r="W587" s="1"/>
      <c r="X587" s="117"/>
    </row>
    <row r="588" spans="15:24" ht="10" customHeight="1">
      <c r="O588" s="1"/>
      <c r="P588" s="1"/>
      <c r="Q588" s="1"/>
      <c r="R588" s="1"/>
      <c r="S588" s="1"/>
      <c r="T588" s="1"/>
      <c r="U588" s="1"/>
      <c r="V588" s="1"/>
      <c r="W588" s="1"/>
      <c r="X588" s="117"/>
    </row>
    <row r="589" spans="15:24" ht="10" customHeight="1">
      <c r="O589" s="1"/>
      <c r="P589" s="1"/>
      <c r="Q589" s="1"/>
      <c r="R589" s="1"/>
      <c r="S589" s="1"/>
      <c r="T589" s="1"/>
      <c r="U589" s="1"/>
      <c r="V589" s="1"/>
      <c r="W589" s="1"/>
      <c r="X589" s="117"/>
    </row>
    <row r="590" spans="15:24" ht="10" customHeight="1">
      <c r="O590" s="1"/>
      <c r="P590" s="1"/>
      <c r="Q590" s="1"/>
      <c r="R590" s="1"/>
      <c r="S590" s="1"/>
      <c r="T590" s="1"/>
      <c r="U590" s="1"/>
      <c r="V590" s="1"/>
      <c r="W590" s="1"/>
      <c r="X590" s="117"/>
    </row>
    <row r="591" spans="15:24" ht="10" customHeight="1">
      <c r="O591" s="1"/>
      <c r="P591" s="1"/>
      <c r="Q591" s="1"/>
      <c r="R591" s="1"/>
      <c r="S591" s="1"/>
      <c r="T591" s="1"/>
      <c r="U591" s="1"/>
      <c r="V591" s="1"/>
      <c r="W591" s="1"/>
      <c r="X591" s="117"/>
    </row>
    <row r="592" spans="15:24" ht="10" customHeight="1">
      <c r="O592" s="1"/>
      <c r="P592" s="1"/>
      <c r="Q592" s="1"/>
      <c r="R592" s="1"/>
      <c r="S592" s="1"/>
      <c r="T592" s="1"/>
      <c r="U592" s="1"/>
      <c r="V592" s="1"/>
      <c r="W592" s="1"/>
      <c r="X592" s="117"/>
    </row>
    <row r="593" spans="15:24" ht="10" customHeight="1">
      <c r="O593" s="1"/>
      <c r="P593" s="1"/>
      <c r="Q593" s="1"/>
      <c r="R593" s="1"/>
      <c r="S593" s="1"/>
      <c r="T593" s="1"/>
      <c r="U593" s="1"/>
      <c r="V593" s="1"/>
      <c r="W593" s="1"/>
      <c r="X593" s="117"/>
    </row>
    <row r="594" spans="15:24" ht="10" customHeight="1">
      <c r="O594" s="1"/>
      <c r="P594" s="1"/>
      <c r="Q594" s="1"/>
      <c r="R594" s="1"/>
      <c r="S594" s="1"/>
      <c r="T594" s="1"/>
      <c r="U594" s="1"/>
      <c r="V594" s="1"/>
      <c r="W594" s="1"/>
      <c r="X594" s="117"/>
    </row>
    <row r="595" spans="15:24" ht="10" customHeight="1">
      <c r="O595" s="1"/>
      <c r="P595" s="1"/>
      <c r="Q595" s="1"/>
      <c r="R595" s="1"/>
      <c r="S595" s="1"/>
      <c r="T595" s="1"/>
      <c r="U595" s="1"/>
      <c r="V595" s="1"/>
      <c r="W595" s="1"/>
      <c r="X595" s="117"/>
    </row>
    <row r="596" spans="15:24" ht="10" customHeight="1">
      <c r="O596" s="1"/>
      <c r="P596" s="1"/>
      <c r="Q596" s="1"/>
      <c r="R596" s="1"/>
      <c r="S596" s="1"/>
      <c r="T596" s="1"/>
      <c r="U596" s="1"/>
      <c r="V596" s="1"/>
      <c r="W596" s="1"/>
      <c r="X596" s="117"/>
    </row>
    <row r="597" spans="15:24" ht="10" customHeight="1">
      <c r="O597" s="1"/>
      <c r="P597" s="1"/>
      <c r="Q597" s="1"/>
      <c r="R597" s="1"/>
      <c r="S597" s="1"/>
      <c r="T597" s="1"/>
      <c r="U597" s="1"/>
      <c r="V597" s="1"/>
      <c r="W597" s="1"/>
      <c r="X597" s="117"/>
    </row>
    <row r="598" spans="15:24" ht="10" customHeight="1">
      <c r="O598" s="1"/>
      <c r="P598" s="1"/>
      <c r="Q598" s="1"/>
      <c r="R598" s="1"/>
      <c r="S598" s="1"/>
      <c r="T598" s="1"/>
      <c r="U598" s="1"/>
      <c r="V598" s="1"/>
      <c r="W598" s="1"/>
      <c r="X598" s="117"/>
    </row>
    <row r="599" spans="15:24" ht="10" customHeight="1">
      <c r="O599" s="1"/>
      <c r="P599" s="1"/>
      <c r="Q599" s="1"/>
      <c r="R599" s="1"/>
      <c r="S599" s="1"/>
      <c r="T599" s="1"/>
      <c r="U599" s="1"/>
      <c r="V599" s="1"/>
      <c r="W599" s="1"/>
      <c r="X599" s="117"/>
    </row>
    <row r="600" spans="15:24" ht="10" customHeight="1">
      <c r="O600" s="1"/>
      <c r="P600" s="1"/>
      <c r="Q600" s="1"/>
      <c r="R600" s="1"/>
      <c r="S600" s="1"/>
      <c r="T600" s="1"/>
      <c r="U600" s="1"/>
      <c r="V600" s="1"/>
      <c r="W600" s="1"/>
      <c r="X600" s="117"/>
    </row>
    <row r="601" spans="15:24" ht="10" customHeight="1">
      <c r="O601" s="1"/>
      <c r="P601" s="1"/>
      <c r="Q601" s="1"/>
      <c r="R601" s="1"/>
      <c r="S601" s="1"/>
      <c r="T601" s="1"/>
      <c r="U601" s="1"/>
      <c r="V601" s="1"/>
      <c r="W601" s="1"/>
      <c r="X601" s="117"/>
    </row>
    <row r="602" spans="15:24" ht="10" customHeight="1">
      <c r="O602" s="1"/>
      <c r="P602" s="1"/>
      <c r="Q602" s="1"/>
      <c r="R602" s="1"/>
      <c r="S602" s="1"/>
      <c r="T602" s="1"/>
      <c r="U602" s="1"/>
      <c r="V602" s="1"/>
      <c r="W602" s="1"/>
      <c r="X602" s="117"/>
    </row>
    <row r="603" spans="15:24" ht="10" customHeight="1">
      <c r="O603" s="1"/>
      <c r="P603" s="1"/>
      <c r="Q603" s="1"/>
      <c r="R603" s="1"/>
      <c r="S603" s="1"/>
      <c r="T603" s="1"/>
      <c r="U603" s="1"/>
      <c r="V603" s="1"/>
      <c r="W603" s="1"/>
      <c r="X603" s="117"/>
    </row>
    <row r="604" spans="15:24" ht="10" customHeight="1">
      <c r="O604" s="1"/>
      <c r="P604" s="1"/>
      <c r="Q604" s="1"/>
      <c r="R604" s="1"/>
      <c r="S604" s="1"/>
      <c r="T604" s="1"/>
      <c r="U604" s="1"/>
      <c r="V604" s="1"/>
      <c r="W604" s="1"/>
      <c r="X604" s="117"/>
    </row>
    <row r="605" spans="15:24" ht="10" customHeight="1">
      <c r="O605" s="1"/>
      <c r="P605" s="1"/>
      <c r="Q605" s="1"/>
      <c r="R605" s="1"/>
      <c r="S605" s="1"/>
      <c r="T605" s="1"/>
      <c r="U605" s="1"/>
      <c r="V605" s="1"/>
      <c r="W605" s="1"/>
      <c r="X605" s="117"/>
    </row>
    <row r="606" spans="15:24" ht="10" customHeight="1">
      <c r="O606" s="1"/>
      <c r="P606" s="1"/>
      <c r="Q606" s="1"/>
      <c r="R606" s="1"/>
      <c r="S606" s="1"/>
      <c r="T606" s="1"/>
      <c r="U606" s="1"/>
      <c r="V606" s="1"/>
      <c r="W606" s="1"/>
      <c r="X606" s="117"/>
    </row>
    <row r="607" spans="15:24" ht="10" customHeight="1">
      <c r="O607" s="1"/>
      <c r="P607" s="1"/>
      <c r="Q607" s="1"/>
      <c r="R607" s="1"/>
      <c r="S607" s="1"/>
      <c r="T607" s="1"/>
      <c r="U607" s="1"/>
      <c r="V607" s="1"/>
      <c r="W607" s="1"/>
      <c r="X607" s="117"/>
    </row>
    <row r="608" spans="15:24" ht="10" customHeight="1">
      <c r="O608" s="1"/>
      <c r="P608" s="1"/>
      <c r="Q608" s="1"/>
      <c r="R608" s="1"/>
      <c r="S608" s="1"/>
      <c r="T608" s="1"/>
      <c r="U608" s="1"/>
      <c r="V608" s="1"/>
      <c r="W608" s="1"/>
      <c r="X608" s="117"/>
    </row>
    <row r="609" spans="15:24" ht="10" customHeight="1">
      <c r="O609" s="1"/>
      <c r="P609" s="1"/>
      <c r="Q609" s="1"/>
      <c r="R609" s="1"/>
      <c r="S609" s="1"/>
      <c r="T609" s="1"/>
      <c r="U609" s="1"/>
      <c r="V609" s="1"/>
      <c r="W609" s="1"/>
      <c r="X609" s="117"/>
    </row>
    <row r="610" spans="15:24" ht="10" customHeight="1">
      <c r="O610" s="1"/>
      <c r="P610" s="1"/>
      <c r="Q610" s="1"/>
      <c r="R610" s="1"/>
      <c r="S610" s="1"/>
      <c r="T610" s="1"/>
      <c r="U610" s="1"/>
      <c r="V610" s="1"/>
      <c r="W610" s="1"/>
      <c r="X610" s="117"/>
    </row>
    <row r="611" spans="15:24" ht="10" customHeight="1">
      <c r="O611" s="1"/>
      <c r="P611" s="1"/>
      <c r="Q611" s="1"/>
      <c r="R611" s="1"/>
      <c r="S611" s="1"/>
      <c r="T611" s="1"/>
      <c r="U611" s="1"/>
      <c r="V611" s="1"/>
      <c r="W611" s="1"/>
      <c r="X611" s="117"/>
    </row>
    <row r="612" spans="15:24" ht="10" customHeight="1">
      <c r="O612" s="1"/>
      <c r="P612" s="1"/>
      <c r="Q612" s="1"/>
      <c r="R612" s="1"/>
      <c r="S612" s="1"/>
      <c r="T612" s="1"/>
      <c r="U612" s="1"/>
      <c r="V612" s="1"/>
      <c r="W612" s="1"/>
      <c r="X612" s="117"/>
    </row>
    <row r="613" spans="15:24" ht="10" customHeight="1">
      <c r="O613" s="1"/>
      <c r="P613" s="1"/>
      <c r="Q613" s="1"/>
      <c r="R613" s="1"/>
      <c r="S613" s="1"/>
      <c r="T613" s="1"/>
      <c r="U613" s="1"/>
      <c r="V613" s="1"/>
      <c r="W613" s="1"/>
      <c r="X613" s="117"/>
    </row>
    <row r="614" spans="15:24" ht="10" customHeight="1">
      <c r="O614" s="1"/>
      <c r="P614" s="1"/>
      <c r="Q614" s="1"/>
      <c r="R614" s="1"/>
      <c r="S614" s="1"/>
      <c r="T614" s="1"/>
      <c r="U614" s="1"/>
      <c r="V614" s="1"/>
      <c r="W614" s="1"/>
      <c r="X614" s="117"/>
    </row>
    <row r="615" spans="15:24" ht="10" customHeight="1">
      <c r="O615" s="1"/>
      <c r="P615" s="1"/>
      <c r="Q615" s="1"/>
      <c r="R615" s="1"/>
      <c r="S615" s="1"/>
      <c r="T615" s="1"/>
      <c r="U615" s="1"/>
      <c r="V615" s="1"/>
      <c r="W615" s="1"/>
      <c r="X615" s="117"/>
    </row>
    <row r="616" spans="15:24" ht="10" customHeight="1">
      <c r="O616" s="1"/>
      <c r="P616" s="1"/>
      <c r="Q616" s="1"/>
      <c r="R616" s="1"/>
      <c r="S616" s="1"/>
      <c r="T616" s="1"/>
      <c r="U616" s="1"/>
      <c r="V616" s="1"/>
      <c r="W616" s="1"/>
      <c r="X616" s="117"/>
    </row>
    <row r="617" spans="15:24" ht="10" customHeight="1">
      <c r="O617" s="1"/>
      <c r="P617" s="1"/>
      <c r="Q617" s="1"/>
      <c r="R617" s="1"/>
      <c r="S617" s="1"/>
      <c r="T617" s="1"/>
      <c r="U617" s="1"/>
      <c r="V617" s="1"/>
      <c r="W617" s="1"/>
      <c r="X617" s="117"/>
    </row>
    <row r="618" spans="15:24" ht="10" customHeight="1">
      <c r="O618" s="1"/>
      <c r="P618" s="1"/>
      <c r="Q618" s="1"/>
      <c r="R618" s="1"/>
      <c r="S618" s="1"/>
      <c r="T618" s="1"/>
      <c r="U618" s="1"/>
      <c r="V618" s="1"/>
      <c r="W618" s="1"/>
      <c r="X618" s="117"/>
    </row>
    <row r="619" spans="15:24" ht="10" customHeight="1">
      <c r="O619" s="1"/>
      <c r="P619" s="1"/>
      <c r="Q619" s="1"/>
      <c r="R619" s="1"/>
      <c r="S619" s="1"/>
      <c r="T619" s="1"/>
      <c r="U619" s="1"/>
      <c r="V619" s="1"/>
      <c r="W619" s="1"/>
      <c r="X619" s="117"/>
    </row>
    <row r="620" spans="15:24" ht="10" customHeight="1">
      <c r="O620" s="1"/>
      <c r="P620" s="1"/>
      <c r="Q620" s="1"/>
      <c r="R620" s="1"/>
      <c r="S620" s="1"/>
      <c r="T620" s="1"/>
      <c r="U620" s="1"/>
      <c r="V620" s="1"/>
      <c r="W620" s="1"/>
      <c r="X620" s="117"/>
    </row>
    <row r="621" spans="15:24" ht="10" customHeight="1">
      <c r="O621" s="1"/>
      <c r="P621" s="1"/>
      <c r="Q621" s="1"/>
      <c r="R621" s="1"/>
      <c r="S621" s="1"/>
      <c r="T621" s="1"/>
      <c r="U621" s="1"/>
      <c r="V621" s="1"/>
      <c r="W621" s="1"/>
      <c r="X621" s="117"/>
    </row>
    <row r="622" spans="15:24" ht="10" customHeight="1">
      <c r="O622" s="1"/>
      <c r="P622" s="1"/>
      <c r="Q622" s="1"/>
      <c r="R622" s="1"/>
      <c r="S622" s="1"/>
      <c r="T622" s="1"/>
      <c r="U622" s="1"/>
      <c r="V622" s="1"/>
      <c r="W622" s="1"/>
      <c r="X622" s="117"/>
    </row>
    <row r="623" spans="15:24" ht="10" customHeight="1">
      <c r="O623" s="1"/>
      <c r="P623" s="1"/>
      <c r="Q623" s="1"/>
      <c r="R623" s="1"/>
      <c r="S623" s="1"/>
      <c r="T623" s="1"/>
      <c r="U623" s="1"/>
      <c r="V623" s="1"/>
      <c r="W623" s="1"/>
      <c r="X623" s="117"/>
    </row>
    <row r="624" spans="15:24" ht="10" customHeight="1">
      <c r="O624" s="1"/>
      <c r="P624" s="1"/>
      <c r="Q624" s="1"/>
      <c r="R624" s="1"/>
      <c r="S624" s="1"/>
      <c r="T624" s="1"/>
      <c r="U624" s="1"/>
      <c r="V624" s="1"/>
      <c r="W624" s="1"/>
      <c r="X624" s="117"/>
    </row>
    <row r="625" spans="15:24" ht="10" customHeight="1">
      <c r="O625" s="1"/>
      <c r="P625" s="1"/>
      <c r="Q625" s="1"/>
      <c r="R625" s="1"/>
      <c r="S625" s="1"/>
      <c r="T625" s="1"/>
      <c r="U625" s="1"/>
      <c r="V625" s="1"/>
      <c r="W625" s="1"/>
      <c r="X625" s="117"/>
    </row>
    <row r="626" spans="15:24" ht="10" customHeight="1">
      <c r="O626" s="1"/>
      <c r="P626" s="1"/>
      <c r="Q626" s="1"/>
      <c r="R626" s="1"/>
      <c r="S626" s="1"/>
      <c r="T626" s="1"/>
      <c r="U626" s="1"/>
      <c r="V626" s="1"/>
      <c r="W626" s="1"/>
      <c r="X626" s="117"/>
    </row>
    <row r="627" spans="15:24" ht="10" customHeight="1">
      <c r="O627" s="1"/>
      <c r="P627" s="1"/>
      <c r="Q627" s="1"/>
      <c r="R627" s="1"/>
      <c r="S627" s="1"/>
      <c r="T627" s="1"/>
      <c r="U627" s="1"/>
      <c r="V627" s="1"/>
      <c r="W627" s="1"/>
      <c r="X627" s="117"/>
    </row>
    <row r="628" spans="15:24" ht="10" customHeight="1">
      <c r="O628" s="1"/>
      <c r="P628" s="1"/>
      <c r="Q628" s="1"/>
      <c r="R628" s="1"/>
      <c r="S628" s="1"/>
      <c r="T628" s="1"/>
      <c r="U628" s="1"/>
      <c r="V628" s="1"/>
      <c r="W628" s="1"/>
      <c r="X628" s="117"/>
    </row>
    <row r="629" spans="15:24" ht="10" customHeight="1">
      <c r="O629" s="1"/>
      <c r="P629" s="1"/>
      <c r="Q629" s="1"/>
      <c r="R629" s="1"/>
      <c r="S629" s="1"/>
      <c r="T629" s="1"/>
      <c r="U629" s="1"/>
      <c r="V629" s="1"/>
      <c r="W629" s="1"/>
      <c r="X629" s="117"/>
    </row>
    <row r="630" spans="15:24" ht="10" customHeight="1">
      <c r="O630" s="1"/>
      <c r="P630" s="1"/>
      <c r="Q630" s="1"/>
      <c r="R630" s="1"/>
      <c r="S630" s="1"/>
      <c r="T630" s="1"/>
      <c r="U630" s="1"/>
      <c r="V630" s="1"/>
      <c r="W630" s="1"/>
      <c r="X630" s="117"/>
    </row>
    <row r="631" spans="15:24" ht="10" customHeight="1">
      <c r="O631" s="1"/>
      <c r="P631" s="1"/>
      <c r="Q631" s="1"/>
      <c r="R631" s="1"/>
      <c r="S631" s="1"/>
      <c r="T631" s="1"/>
      <c r="U631" s="1"/>
      <c r="V631" s="1"/>
      <c r="W631" s="1"/>
      <c r="X631" s="117"/>
    </row>
    <row r="632" spans="15:24" ht="10" customHeight="1">
      <c r="O632" s="1"/>
      <c r="P632" s="1"/>
      <c r="Q632" s="1"/>
      <c r="R632" s="1"/>
      <c r="S632" s="1"/>
      <c r="T632" s="1"/>
      <c r="U632" s="1"/>
      <c r="V632" s="1"/>
      <c r="W632" s="1"/>
      <c r="X632" s="117"/>
    </row>
    <row r="633" spans="15:24" ht="10" customHeight="1">
      <c r="O633" s="1"/>
      <c r="P633" s="1"/>
      <c r="Q633" s="1"/>
      <c r="R633" s="1"/>
      <c r="S633" s="1"/>
      <c r="T633" s="1"/>
      <c r="U633" s="1"/>
      <c r="V633" s="1"/>
      <c r="W633" s="1"/>
      <c r="X633" s="117"/>
    </row>
    <row r="634" spans="15:24" ht="10" customHeight="1">
      <c r="O634" s="1"/>
      <c r="P634" s="1"/>
      <c r="Q634" s="1"/>
      <c r="R634" s="1"/>
      <c r="S634" s="1"/>
      <c r="T634" s="1"/>
      <c r="U634" s="1"/>
      <c r="V634" s="1"/>
      <c r="W634" s="1"/>
      <c r="X634" s="117"/>
    </row>
    <row r="635" spans="15:24" ht="10" customHeight="1">
      <c r="O635" s="1"/>
      <c r="P635" s="1"/>
      <c r="Q635" s="1"/>
      <c r="R635" s="1"/>
      <c r="S635" s="1"/>
      <c r="T635" s="1"/>
      <c r="U635" s="1"/>
      <c r="V635" s="1"/>
      <c r="W635" s="1"/>
      <c r="X635" s="117"/>
    </row>
    <row r="636" spans="15:24" ht="10" customHeight="1">
      <c r="O636" s="1"/>
      <c r="P636" s="1"/>
      <c r="Q636" s="1"/>
      <c r="R636" s="1"/>
      <c r="S636" s="1"/>
      <c r="T636" s="1"/>
      <c r="U636" s="1"/>
      <c r="V636" s="1"/>
      <c r="W636" s="1"/>
      <c r="X636" s="117"/>
    </row>
    <row r="637" spans="15:24" ht="10" customHeight="1">
      <c r="O637" s="1"/>
      <c r="P637" s="1"/>
      <c r="Q637" s="1"/>
      <c r="R637" s="1"/>
      <c r="S637" s="1"/>
      <c r="T637" s="1"/>
      <c r="U637" s="1"/>
      <c r="V637" s="1"/>
      <c r="W637" s="1"/>
      <c r="X637" s="117"/>
    </row>
    <row r="638" spans="15:24" ht="10" customHeight="1">
      <c r="O638" s="1"/>
      <c r="P638" s="1"/>
      <c r="Q638" s="1"/>
      <c r="R638" s="1"/>
      <c r="S638" s="1"/>
      <c r="T638" s="1"/>
      <c r="U638" s="1"/>
      <c r="V638" s="1"/>
      <c r="W638" s="1"/>
      <c r="X638" s="117"/>
    </row>
    <row r="639" spans="15:24" ht="10" customHeight="1">
      <c r="O639" s="1"/>
      <c r="P639" s="1"/>
      <c r="Q639" s="1"/>
      <c r="R639" s="1"/>
      <c r="S639" s="1"/>
      <c r="T639" s="1"/>
      <c r="U639" s="1"/>
      <c r="V639" s="1"/>
      <c r="W639" s="1"/>
      <c r="X639" s="117"/>
    </row>
    <row r="640" spans="15:24" ht="10" customHeight="1">
      <c r="O640" s="1"/>
      <c r="P640" s="1"/>
      <c r="Q640" s="1"/>
      <c r="R640" s="1"/>
      <c r="S640" s="1"/>
      <c r="T640" s="1"/>
      <c r="U640" s="1"/>
      <c r="V640" s="1"/>
      <c r="W640" s="1"/>
      <c r="X640" s="117"/>
    </row>
    <row r="641" spans="15:24" ht="10" customHeight="1">
      <c r="O641" s="1"/>
      <c r="P641" s="1"/>
      <c r="Q641" s="1"/>
      <c r="R641" s="1"/>
      <c r="S641" s="1"/>
      <c r="T641" s="1"/>
      <c r="U641" s="1"/>
      <c r="V641" s="1"/>
      <c r="W641" s="1"/>
      <c r="X641" s="117"/>
    </row>
    <row r="642" spans="15:24" ht="10" customHeight="1">
      <c r="O642" s="1"/>
      <c r="P642" s="1"/>
      <c r="Q642" s="1"/>
      <c r="R642" s="1"/>
      <c r="S642" s="1"/>
      <c r="T642" s="1"/>
      <c r="U642" s="1"/>
      <c r="V642" s="1"/>
      <c r="W642" s="1"/>
      <c r="X642" s="117"/>
    </row>
    <row r="643" spans="15:24" ht="10" customHeight="1">
      <c r="O643" s="1"/>
      <c r="P643" s="1"/>
      <c r="Q643" s="1"/>
      <c r="R643" s="1"/>
      <c r="S643" s="1"/>
      <c r="T643" s="1"/>
      <c r="U643" s="1"/>
      <c r="V643" s="1"/>
      <c r="W643" s="1"/>
      <c r="X643" s="117"/>
    </row>
    <row r="644" spans="15:24" ht="10" customHeight="1">
      <c r="O644" s="1"/>
      <c r="P644" s="1"/>
      <c r="Q644" s="1"/>
      <c r="R644" s="1"/>
      <c r="S644" s="1"/>
      <c r="T644" s="1"/>
      <c r="U644" s="1"/>
      <c r="V644" s="1"/>
      <c r="W644" s="1"/>
      <c r="X644" s="117"/>
    </row>
    <row r="645" spans="15:24" ht="10" customHeight="1">
      <c r="O645" s="1"/>
      <c r="P645" s="1"/>
      <c r="Q645" s="1"/>
      <c r="R645" s="1"/>
      <c r="S645" s="1"/>
      <c r="T645" s="1"/>
      <c r="U645" s="1"/>
      <c r="V645" s="1"/>
      <c r="W645" s="1"/>
      <c r="X645" s="117"/>
    </row>
    <row r="646" spans="15:24" ht="10" customHeight="1">
      <c r="O646" s="1"/>
      <c r="P646" s="1"/>
      <c r="Q646" s="1"/>
      <c r="R646" s="1"/>
      <c r="S646" s="1"/>
      <c r="T646" s="1"/>
      <c r="U646" s="1"/>
      <c r="V646" s="1"/>
      <c r="W646" s="1"/>
      <c r="X646" s="117"/>
    </row>
    <row r="647" spans="15:24" ht="10" customHeight="1">
      <c r="O647" s="1"/>
      <c r="P647" s="1"/>
      <c r="Q647" s="1"/>
      <c r="R647" s="1"/>
      <c r="S647" s="1"/>
      <c r="T647" s="1"/>
      <c r="U647" s="1"/>
      <c r="V647" s="1"/>
      <c r="W647" s="1"/>
      <c r="X647" s="117"/>
    </row>
    <row r="648" spans="15:24" ht="10" customHeight="1">
      <c r="O648" s="1"/>
      <c r="P648" s="1"/>
      <c r="Q648" s="1"/>
      <c r="R648" s="1"/>
      <c r="S648" s="1"/>
      <c r="T648" s="1"/>
      <c r="U648" s="1"/>
      <c r="V648" s="1"/>
      <c r="W648" s="1"/>
      <c r="X648" s="117"/>
    </row>
    <row r="649" spans="15:24" ht="10" customHeight="1">
      <c r="O649" s="1"/>
      <c r="P649" s="1"/>
      <c r="Q649" s="1"/>
      <c r="R649" s="1"/>
      <c r="S649" s="1"/>
      <c r="T649" s="1"/>
      <c r="U649" s="1"/>
      <c r="V649" s="1"/>
      <c r="W649" s="1"/>
      <c r="X649" s="117"/>
    </row>
    <row r="650" spans="15:24" ht="10" customHeight="1">
      <c r="O650" s="1"/>
      <c r="P650" s="1"/>
      <c r="Q650" s="1"/>
      <c r="R650" s="1"/>
      <c r="S650" s="1"/>
      <c r="T650" s="1"/>
      <c r="U650" s="1"/>
      <c r="V650" s="1"/>
      <c r="W650" s="1"/>
      <c r="X650" s="117"/>
    </row>
    <row r="651" spans="15:24" ht="10" customHeight="1">
      <c r="O651" s="1"/>
      <c r="P651" s="1"/>
      <c r="Q651" s="1"/>
      <c r="R651" s="1"/>
      <c r="S651" s="1"/>
      <c r="T651" s="1"/>
      <c r="U651" s="1"/>
      <c r="V651" s="1"/>
      <c r="W651" s="1"/>
      <c r="X651" s="117"/>
    </row>
    <row r="652" spans="15:24" ht="10" customHeight="1">
      <c r="O652" s="1"/>
      <c r="P652" s="1"/>
      <c r="Q652" s="1"/>
      <c r="R652" s="1"/>
      <c r="S652" s="1"/>
      <c r="T652" s="1"/>
      <c r="U652" s="1"/>
      <c r="V652" s="1"/>
      <c r="W652" s="1"/>
      <c r="X652" s="117"/>
    </row>
    <row r="653" spans="15:24" ht="10" customHeight="1">
      <c r="O653" s="1"/>
      <c r="P653" s="1"/>
      <c r="Q653" s="1"/>
      <c r="R653" s="1"/>
      <c r="S653" s="1"/>
      <c r="T653" s="1"/>
      <c r="U653" s="1"/>
      <c r="V653" s="1"/>
      <c r="W653" s="1"/>
      <c r="X653" s="117"/>
    </row>
    <row r="654" spans="15:24" ht="10" customHeight="1">
      <c r="O654" s="1"/>
      <c r="P654" s="1"/>
      <c r="Q654" s="1"/>
      <c r="R654" s="1"/>
      <c r="S654" s="1"/>
      <c r="T654" s="1"/>
      <c r="U654" s="1"/>
      <c r="V654" s="1"/>
      <c r="W654" s="1"/>
      <c r="X654" s="117"/>
    </row>
    <row r="655" spans="15:24" ht="10" customHeight="1">
      <c r="O655" s="1"/>
      <c r="P655" s="1"/>
      <c r="Q655" s="1"/>
      <c r="R655" s="1"/>
      <c r="S655" s="1"/>
      <c r="T655" s="1"/>
      <c r="U655" s="1"/>
      <c r="V655" s="1"/>
      <c r="W655" s="1"/>
      <c r="X655" s="117"/>
    </row>
    <row r="656" spans="15:24" ht="10" customHeight="1">
      <c r="O656" s="1"/>
      <c r="P656" s="1"/>
      <c r="Q656" s="1"/>
      <c r="R656" s="1"/>
      <c r="S656" s="1"/>
      <c r="T656" s="1"/>
      <c r="U656" s="1"/>
      <c r="V656" s="1"/>
      <c r="W656" s="1"/>
      <c r="X656" s="117"/>
    </row>
    <row r="657" spans="15:24" ht="10" customHeight="1">
      <c r="O657" s="1"/>
      <c r="P657" s="1"/>
      <c r="Q657" s="1"/>
      <c r="R657" s="1"/>
      <c r="S657" s="1"/>
      <c r="T657" s="1"/>
      <c r="U657" s="1"/>
      <c r="V657" s="1"/>
      <c r="W657" s="1"/>
      <c r="X657" s="117"/>
    </row>
    <row r="658" spans="15:24" ht="10" customHeight="1">
      <c r="O658" s="1"/>
      <c r="P658" s="1"/>
      <c r="Q658" s="1"/>
      <c r="R658" s="1"/>
      <c r="S658" s="1"/>
      <c r="T658" s="1"/>
      <c r="U658" s="1"/>
      <c r="V658" s="1"/>
      <c r="W658" s="1"/>
      <c r="X658" s="117"/>
    </row>
    <row r="659" spans="15:24" ht="10" customHeight="1">
      <c r="O659" s="1"/>
      <c r="P659" s="1"/>
      <c r="Q659" s="1"/>
      <c r="R659" s="1"/>
      <c r="S659" s="1"/>
      <c r="T659" s="1"/>
      <c r="U659" s="1"/>
      <c r="V659" s="1"/>
      <c r="W659" s="1"/>
      <c r="X659" s="117"/>
    </row>
    <row r="660" spans="15:24" ht="10" customHeight="1">
      <c r="O660" s="1"/>
      <c r="P660" s="1"/>
      <c r="Q660" s="1"/>
      <c r="R660" s="1"/>
      <c r="S660" s="1"/>
      <c r="T660" s="1"/>
      <c r="U660" s="1"/>
      <c r="V660" s="1"/>
      <c r="W660" s="1"/>
      <c r="X660" s="117"/>
    </row>
    <row r="661" spans="15:24" ht="10" customHeight="1">
      <c r="O661" s="1"/>
      <c r="P661" s="1"/>
      <c r="Q661" s="1"/>
      <c r="R661" s="1"/>
      <c r="S661" s="1"/>
      <c r="T661" s="1"/>
      <c r="U661" s="1"/>
      <c r="V661" s="1"/>
      <c r="W661" s="1"/>
      <c r="X661" s="117"/>
    </row>
    <row r="662" spans="15:24" ht="10" customHeight="1">
      <c r="O662" s="1"/>
      <c r="P662" s="1"/>
      <c r="Q662" s="1"/>
      <c r="R662" s="1"/>
      <c r="S662" s="1"/>
      <c r="T662" s="1"/>
      <c r="U662" s="1"/>
      <c r="V662" s="1"/>
      <c r="W662" s="1"/>
      <c r="X662" s="117"/>
    </row>
    <row r="663" spans="15:24" ht="10" customHeight="1">
      <c r="O663" s="1"/>
      <c r="P663" s="1"/>
      <c r="Q663" s="1"/>
      <c r="R663" s="1"/>
      <c r="S663" s="1"/>
      <c r="T663" s="1"/>
      <c r="U663" s="1"/>
      <c r="V663" s="1"/>
      <c r="W663" s="1"/>
      <c r="X663" s="117"/>
    </row>
    <row r="664" spans="15:24" ht="10" customHeight="1">
      <c r="O664" s="1"/>
      <c r="P664" s="1"/>
      <c r="Q664" s="1"/>
      <c r="R664" s="1"/>
      <c r="S664" s="1"/>
      <c r="T664" s="1"/>
      <c r="U664" s="1"/>
      <c r="V664" s="1"/>
      <c r="W664" s="1"/>
      <c r="X664" s="117"/>
    </row>
    <row r="665" spans="15:24" ht="10" customHeight="1">
      <c r="O665" s="1"/>
      <c r="P665" s="1"/>
      <c r="Q665" s="1"/>
      <c r="R665" s="1"/>
      <c r="S665" s="1"/>
      <c r="T665" s="1"/>
      <c r="U665" s="1"/>
      <c r="V665" s="1"/>
      <c r="W665" s="1"/>
      <c r="X665" s="117"/>
    </row>
    <row r="666" spans="15:24" ht="10" customHeight="1">
      <c r="O666" s="1"/>
      <c r="P666" s="1"/>
      <c r="Q666" s="1"/>
      <c r="R666" s="1"/>
      <c r="S666" s="1"/>
      <c r="T666" s="1"/>
      <c r="U666" s="1"/>
      <c r="V666" s="1"/>
      <c r="W666" s="1"/>
      <c r="X666" s="117"/>
    </row>
    <row r="667" spans="15:24" ht="10" customHeight="1">
      <c r="O667" s="1"/>
      <c r="P667" s="1"/>
      <c r="Q667" s="1"/>
      <c r="R667" s="1"/>
      <c r="S667" s="1"/>
      <c r="T667" s="1"/>
      <c r="U667" s="1"/>
      <c r="V667" s="1"/>
      <c r="W667" s="1"/>
      <c r="X667" s="117"/>
    </row>
    <row r="668" spans="15:24" ht="10" customHeight="1">
      <c r="O668" s="1"/>
      <c r="P668" s="1"/>
      <c r="Q668" s="1"/>
      <c r="R668" s="1"/>
      <c r="S668" s="1"/>
      <c r="T668" s="1"/>
      <c r="U668" s="1"/>
      <c r="V668" s="1"/>
      <c r="W668" s="1"/>
      <c r="X668" s="117"/>
    </row>
    <row r="669" spans="15:24" ht="10" customHeight="1">
      <c r="O669" s="1"/>
      <c r="P669" s="1"/>
      <c r="Q669" s="1"/>
      <c r="R669" s="1"/>
      <c r="S669" s="1"/>
      <c r="T669" s="1"/>
      <c r="U669" s="1"/>
      <c r="V669" s="1"/>
      <c r="W669" s="1"/>
      <c r="X669" s="117"/>
    </row>
    <row r="670" spans="15:24" ht="10" customHeight="1">
      <c r="O670" s="1"/>
      <c r="P670" s="1"/>
      <c r="Q670" s="1"/>
      <c r="R670" s="1"/>
      <c r="S670" s="1"/>
      <c r="T670" s="1"/>
      <c r="U670" s="1"/>
      <c r="V670" s="1"/>
      <c r="W670" s="1"/>
      <c r="X670" s="117"/>
    </row>
    <row r="671" spans="15:24" ht="10" customHeight="1">
      <c r="O671" s="1"/>
      <c r="P671" s="1"/>
      <c r="Q671" s="1"/>
      <c r="R671" s="1"/>
      <c r="S671" s="1"/>
      <c r="T671" s="1"/>
      <c r="U671" s="1"/>
      <c r="V671" s="1"/>
      <c r="W671" s="1"/>
      <c r="X671" s="117"/>
    </row>
    <row r="672" spans="15:24" ht="10" customHeight="1">
      <c r="O672" s="1"/>
      <c r="P672" s="1"/>
      <c r="Q672" s="1"/>
      <c r="R672" s="1"/>
      <c r="S672" s="1"/>
      <c r="T672" s="1"/>
      <c r="U672" s="1"/>
      <c r="V672" s="1"/>
      <c r="W672" s="1"/>
      <c r="X672" s="117"/>
    </row>
    <row r="673" spans="15:24" ht="10" customHeight="1">
      <c r="O673" s="1"/>
      <c r="P673" s="1"/>
      <c r="Q673" s="1"/>
      <c r="R673" s="1"/>
      <c r="S673" s="1"/>
      <c r="T673" s="1"/>
      <c r="U673" s="1"/>
      <c r="V673" s="1"/>
      <c r="W673" s="1"/>
      <c r="X673" s="117"/>
    </row>
    <row r="674" spans="15:24" ht="10" customHeight="1">
      <c r="O674" s="1"/>
      <c r="P674" s="1"/>
      <c r="Q674" s="1"/>
      <c r="R674" s="1"/>
      <c r="S674" s="1"/>
      <c r="T674" s="1"/>
      <c r="U674" s="1"/>
      <c r="V674" s="1"/>
      <c r="W674" s="1"/>
      <c r="X674" s="117"/>
    </row>
    <row r="675" spans="15:24" ht="10" customHeight="1">
      <c r="O675" s="1"/>
      <c r="P675" s="1"/>
      <c r="Q675" s="1"/>
      <c r="R675" s="1"/>
      <c r="S675" s="1"/>
      <c r="T675" s="1"/>
      <c r="U675" s="1"/>
      <c r="V675" s="1"/>
      <c r="W675" s="1"/>
      <c r="X675" s="117"/>
    </row>
    <row r="676" spans="15:24" ht="10" customHeight="1">
      <c r="O676" s="1"/>
      <c r="P676" s="1"/>
      <c r="Q676" s="1"/>
      <c r="R676" s="1"/>
      <c r="S676" s="1"/>
      <c r="T676" s="1"/>
      <c r="U676" s="1"/>
      <c r="V676" s="1"/>
      <c r="W676" s="1"/>
      <c r="X676" s="117"/>
    </row>
    <row r="677" spans="15:24" ht="10" customHeight="1">
      <c r="O677" s="1"/>
      <c r="P677" s="1"/>
      <c r="Q677" s="1"/>
      <c r="R677" s="1"/>
      <c r="S677" s="1"/>
      <c r="T677" s="1"/>
      <c r="U677" s="1"/>
      <c r="V677" s="1"/>
      <c r="W677" s="1"/>
      <c r="X677" s="117"/>
    </row>
    <row r="678" spans="15:24" ht="10" customHeight="1">
      <c r="O678" s="1"/>
      <c r="P678" s="1"/>
      <c r="Q678" s="1"/>
      <c r="R678" s="1"/>
      <c r="S678" s="1"/>
      <c r="T678" s="1"/>
      <c r="U678" s="1"/>
      <c r="V678" s="1"/>
      <c r="W678" s="1"/>
      <c r="X678" s="117"/>
    </row>
    <row r="679" spans="15:24" ht="10" customHeight="1">
      <c r="O679" s="1"/>
      <c r="P679" s="1"/>
      <c r="Q679" s="1"/>
      <c r="R679" s="1"/>
      <c r="S679" s="1"/>
      <c r="T679" s="1"/>
      <c r="U679" s="1"/>
      <c r="V679" s="1"/>
      <c r="W679" s="1"/>
      <c r="X679" s="117"/>
    </row>
    <row r="680" spans="15:24" ht="10" customHeight="1">
      <c r="O680" s="1"/>
      <c r="P680" s="1"/>
      <c r="Q680" s="1"/>
      <c r="R680" s="1"/>
      <c r="S680" s="1"/>
      <c r="T680" s="1"/>
      <c r="U680" s="1"/>
      <c r="V680" s="1"/>
      <c r="W680" s="1"/>
      <c r="X680" s="117"/>
    </row>
    <row r="681" spans="15:24" ht="10" customHeight="1">
      <c r="O681" s="1"/>
      <c r="P681" s="1"/>
      <c r="Q681" s="1"/>
      <c r="R681" s="1"/>
      <c r="S681" s="1"/>
      <c r="T681" s="1"/>
      <c r="U681" s="1"/>
      <c r="V681" s="1"/>
      <c r="W681" s="1"/>
      <c r="X681" s="117"/>
    </row>
    <row r="682" spans="15:24" ht="10" customHeight="1">
      <c r="O682" s="1"/>
      <c r="P682" s="1"/>
      <c r="Q682" s="1"/>
      <c r="R682" s="1"/>
      <c r="S682" s="1"/>
      <c r="T682" s="1"/>
      <c r="U682" s="1"/>
      <c r="V682" s="1"/>
      <c r="W682" s="1"/>
      <c r="X682" s="117"/>
    </row>
    <row r="683" spans="15:24" ht="10" customHeight="1">
      <c r="O683" s="1"/>
      <c r="P683" s="1"/>
      <c r="Q683" s="1"/>
      <c r="R683" s="1"/>
      <c r="S683" s="1"/>
      <c r="T683" s="1"/>
      <c r="U683" s="1"/>
      <c r="V683" s="1"/>
      <c r="W683" s="1"/>
      <c r="X683" s="117"/>
    </row>
    <row r="684" spans="15:24" ht="10" customHeight="1">
      <c r="O684" s="1"/>
      <c r="P684" s="1"/>
      <c r="Q684" s="1"/>
      <c r="R684" s="1"/>
      <c r="S684" s="1"/>
      <c r="T684" s="1"/>
      <c r="U684" s="1"/>
      <c r="V684" s="1"/>
      <c r="W684" s="1"/>
      <c r="X684" s="117"/>
    </row>
    <row r="685" spans="15:24" ht="10" customHeight="1">
      <c r="O685" s="1"/>
      <c r="P685" s="1"/>
      <c r="Q685" s="1"/>
      <c r="R685" s="1"/>
      <c r="S685" s="1"/>
      <c r="T685" s="1"/>
      <c r="U685" s="1"/>
      <c r="V685" s="1"/>
      <c r="W685" s="1"/>
      <c r="X685" s="117"/>
    </row>
    <row r="686" spans="15:24" ht="10" customHeight="1">
      <c r="O686" s="1"/>
      <c r="P686" s="1"/>
      <c r="Q686" s="1"/>
      <c r="R686" s="1"/>
      <c r="S686" s="1"/>
      <c r="T686" s="1"/>
      <c r="U686" s="1"/>
      <c r="V686" s="1"/>
      <c r="W686" s="1"/>
      <c r="X686" s="117"/>
    </row>
    <row r="687" spans="15:24" ht="10" customHeight="1">
      <c r="O687" s="1"/>
      <c r="P687" s="1"/>
      <c r="Q687" s="1"/>
      <c r="R687" s="1"/>
      <c r="S687" s="1"/>
      <c r="T687" s="1"/>
      <c r="U687" s="1"/>
      <c r="V687" s="1"/>
      <c r="W687" s="1"/>
      <c r="X687" s="117"/>
    </row>
    <row r="688" spans="15:24" ht="10" customHeight="1">
      <c r="O688" s="1"/>
      <c r="P688" s="1"/>
      <c r="Q688" s="1"/>
      <c r="R688" s="1"/>
      <c r="S688" s="1"/>
      <c r="T688" s="1"/>
      <c r="U688" s="1"/>
      <c r="V688" s="1"/>
      <c r="W688" s="1"/>
      <c r="X688" s="117"/>
    </row>
    <row r="689" spans="15:24" ht="10" customHeight="1">
      <c r="O689" s="1"/>
      <c r="P689" s="1"/>
      <c r="Q689" s="1"/>
      <c r="R689" s="1"/>
      <c r="S689" s="1"/>
      <c r="T689" s="1"/>
      <c r="U689" s="1"/>
      <c r="V689" s="1"/>
      <c r="W689" s="1"/>
      <c r="X689" s="117"/>
    </row>
    <row r="690" spans="15:24" ht="10" customHeight="1">
      <c r="O690" s="1"/>
      <c r="P690" s="1"/>
      <c r="Q690" s="1"/>
      <c r="R690" s="1"/>
      <c r="S690" s="1"/>
      <c r="T690" s="1"/>
      <c r="U690" s="1"/>
      <c r="V690" s="1"/>
      <c r="W690" s="1"/>
      <c r="X690" s="117"/>
    </row>
    <row r="691" spans="15:24" ht="10" customHeight="1">
      <c r="O691" s="1"/>
      <c r="P691" s="1"/>
      <c r="Q691" s="1"/>
      <c r="R691" s="1"/>
      <c r="S691" s="1"/>
      <c r="T691" s="1"/>
      <c r="U691" s="1"/>
      <c r="V691" s="1"/>
      <c r="W691" s="1"/>
      <c r="X691" s="117"/>
    </row>
    <row r="692" spans="15:24" ht="10" customHeight="1">
      <c r="O692" s="1"/>
      <c r="P692" s="1"/>
      <c r="Q692" s="1"/>
      <c r="R692" s="1"/>
      <c r="S692" s="1"/>
      <c r="T692" s="1"/>
      <c r="U692" s="1"/>
      <c r="V692" s="1"/>
      <c r="W692" s="1"/>
      <c r="X692" s="117"/>
    </row>
    <row r="693" spans="15:24" ht="10" customHeight="1">
      <c r="O693" s="1"/>
      <c r="P693" s="1"/>
      <c r="Q693" s="1"/>
      <c r="R693" s="1"/>
      <c r="S693" s="1"/>
      <c r="T693" s="1"/>
      <c r="U693" s="1"/>
      <c r="V693" s="1"/>
      <c r="W693" s="1"/>
      <c r="X693" s="117"/>
    </row>
    <row r="694" spans="15:24" ht="10" customHeight="1">
      <c r="O694" s="1"/>
      <c r="P694" s="1"/>
      <c r="Q694" s="1"/>
      <c r="R694" s="1"/>
      <c r="S694" s="1"/>
      <c r="T694" s="1"/>
      <c r="U694" s="1"/>
      <c r="V694" s="1"/>
      <c r="W694" s="1"/>
      <c r="X694" s="117"/>
    </row>
    <row r="695" spans="15:24" ht="10" customHeight="1">
      <c r="O695" s="1"/>
      <c r="P695" s="1"/>
      <c r="Q695" s="1"/>
      <c r="R695" s="1"/>
      <c r="S695" s="1"/>
      <c r="T695" s="1"/>
      <c r="U695" s="1"/>
      <c r="V695" s="1"/>
      <c r="W695" s="1"/>
      <c r="X695" s="117"/>
    </row>
    <row r="696" spans="15:24" ht="10" customHeight="1">
      <c r="O696" s="1"/>
      <c r="P696" s="1"/>
      <c r="Q696" s="1"/>
      <c r="R696" s="1"/>
      <c r="S696" s="1"/>
      <c r="T696" s="1"/>
      <c r="U696" s="1"/>
      <c r="V696" s="1"/>
      <c r="W696" s="1"/>
      <c r="X696" s="117"/>
    </row>
    <row r="697" spans="15:24" ht="10" customHeight="1">
      <c r="O697" s="1"/>
      <c r="P697" s="1"/>
      <c r="Q697" s="1"/>
      <c r="R697" s="1"/>
      <c r="S697" s="1"/>
      <c r="T697" s="1"/>
      <c r="U697" s="1"/>
      <c r="V697" s="1"/>
      <c r="W697" s="1"/>
      <c r="X697" s="117"/>
    </row>
    <row r="698" spans="15:24" ht="10" customHeight="1">
      <c r="O698" s="1"/>
      <c r="P698" s="1"/>
      <c r="Q698" s="1"/>
      <c r="R698" s="1"/>
      <c r="S698" s="1"/>
      <c r="T698" s="1"/>
      <c r="U698" s="1"/>
      <c r="V698" s="1"/>
      <c r="W698" s="1"/>
      <c r="X698" s="117"/>
    </row>
    <row r="699" spans="15:24" ht="10" customHeight="1">
      <c r="O699" s="1"/>
      <c r="P699" s="1"/>
      <c r="Q699" s="1"/>
      <c r="R699" s="1"/>
      <c r="S699" s="1"/>
      <c r="T699" s="1"/>
      <c r="U699" s="1"/>
      <c r="V699" s="1"/>
      <c r="W699" s="1"/>
      <c r="X699" s="117"/>
    </row>
    <row r="700" spans="15:24" ht="10" customHeight="1">
      <c r="O700" s="1"/>
      <c r="P700" s="1"/>
      <c r="Q700" s="1"/>
      <c r="R700" s="1"/>
      <c r="S700" s="1"/>
      <c r="T700" s="1"/>
      <c r="U700" s="1"/>
      <c r="V700" s="1"/>
      <c r="W700" s="1"/>
      <c r="X700" s="117"/>
    </row>
    <row r="701" spans="15:24" ht="10" customHeight="1">
      <c r="O701" s="1"/>
      <c r="P701" s="1"/>
      <c r="Q701" s="1"/>
      <c r="R701" s="1"/>
      <c r="S701" s="1"/>
      <c r="T701" s="1"/>
      <c r="U701" s="1"/>
      <c r="V701" s="1"/>
      <c r="W701" s="1"/>
      <c r="X701" s="117"/>
    </row>
    <row r="702" spans="15:24" ht="10" customHeight="1">
      <c r="O702" s="1"/>
      <c r="P702" s="1"/>
      <c r="Q702" s="1"/>
      <c r="R702" s="1"/>
      <c r="S702" s="1"/>
      <c r="T702" s="1"/>
      <c r="U702" s="1"/>
      <c r="V702" s="1"/>
      <c r="W702" s="1"/>
      <c r="X702" s="117"/>
    </row>
    <row r="703" spans="15:24" ht="10" customHeight="1">
      <c r="O703" s="1"/>
      <c r="P703" s="1"/>
      <c r="Q703" s="1"/>
      <c r="R703" s="1"/>
      <c r="S703" s="1"/>
      <c r="T703" s="1"/>
      <c r="U703" s="1"/>
      <c r="V703" s="1"/>
      <c r="W703" s="1"/>
      <c r="X703" s="117"/>
    </row>
    <row r="704" spans="15:24" ht="10" customHeight="1">
      <c r="O704" s="1"/>
      <c r="P704" s="1"/>
      <c r="Q704" s="1"/>
      <c r="R704" s="1"/>
      <c r="S704" s="1"/>
      <c r="T704" s="1"/>
      <c r="U704" s="1"/>
      <c r="V704" s="1"/>
      <c r="W704" s="1"/>
      <c r="X704" s="117"/>
    </row>
    <row r="705" spans="15:24" ht="10" customHeight="1">
      <c r="O705" s="1"/>
      <c r="P705" s="1"/>
      <c r="Q705" s="1"/>
      <c r="R705" s="1"/>
      <c r="S705" s="1"/>
      <c r="T705" s="1"/>
      <c r="U705" s="1"/>
      <c r="V705" s="1"/>
      <c r="W705" s="1"/>
      <c r="X705" s="117"/>
    </row>
    <row r="706" spans="15:24" ht="10" customHeight="1">
      <c r="O706" s="1"/>
      <c r="P706" s="1"/>
      <c r="Q706" s="1"/>
      <c r="R706" s="1"/>
      <c r="S706" s="1"/>
      <c r="T706" s="1"/>
      <c r="U706" s="1"/>
      <c r="V706" s="1"/>
      <c r="W706" s="1"/>
      <c r="X706" s="117"/>
    </row>
    <row r="707" spans="15:24" ht="10" customHeight="1">
      <c r="O707" s="1"/>
      <c r="P707" s="1"/>
      <c r="Q707" s="1"/>
      <c r="R707" s="1"/>
      <c r="S707" s="1"/>
      <c r="T707" s="1"/>
      <c r="U707" s="1"/>
      <c r="V707" s="1"/>
      <c r="W707" s="1"/>
      <c r="X707" s="117"/>
    </row>
    <row r="708" spans="15:24" ht="10" customHeight="1">
      <c r="O708" s="1"/>
      <c r="P708" s="1"/>
      <c r="Q708" s="1"/>
      <c r="R708" s="1"/>
      <c r="S708" s="1"/>
      <c r="T708" s="1"/>
      <c r="U708" s="1"/>
      <c r="V708" s="1"/>
      <c r="W708" s="1"/>
      <c r="X708" s="117"/>
    </row>
    <row r="709" spans="15:24" ht="10" customHeight="1">
      <c r="O709" s="1"/>
      <c r="P709" s="1"/>
      <c r="Q709" s="1"/>
      <c r="R709" s="1"/>
      <c r="S709" s="1"/>
      <c r="T709" s="1"/>
      <c r="U709" s="1"/>
      <c r="V709" s="1"/>
      <c r="W709" s="1"/>
      <c r="X709" s="117"/>
    </row>
    <row r="710" spans="15:24" ht="10" customHeight="1">
      <c r="O710" s="1"/>
      <c r="P710" s="1"/>
      <c r="Q710" s="1"/>
      <c r="R710" s="1"/>
      <c r="S710" s="1"/>
      <c r="T710" s="1"/>
      <c r="U710" s="1"/>
      <c r="V710" s="1"/>
      <c r="W710" s="1"/>
      <c r="X710" s="117"/>
    </row>
    <row r="711" spans="15:24" ht="10" customHeight="1">
      <c r="O711" s="1"/>
      <c r="P711" s="1"/>
      <c r="Q711" s="1"/>
      <c r="R711" s="1"/>
      <c r="S711" s="1"/>
      <c r="T711" s="1"/>
      <c r="U711" s="1"/>
      <c r="V711" s="1"/>
      <c r="W711" s="1"/>
      <c r="X711" s="117"/>
    </row>
    <row r="712" spans="15:24" ht="10" customHeight="1">
      <c r="O712" s="1"/>
      <c r="P712" s="1"/>
      <c r="Q712" s="1"/>
      <c r="R712" s="1"/>
      <c r="S712" s="1"/>
      <c r="T712" s="1"/>
      <c r="U712" s="1"/>
      <c r="V712" s="1"/>
      <c r="W712" s="1"/>
      <c r="X712" s="117"/>
    </row>
    <row r="713" spans="15:24" ht="10" customHeight="1">
      <c r="O713" s="1"/>
      <c r="P713" s="1"/>
      <c r="Q713" s="1"/>
      <c r="R713" s="1"/>
      <c r="S713" s="1"/>
      <c r="T713" s="1"/>
      <c r="U713" s="1"/>
      <c r="V713" s="1"/>
      <c r="W713" s="1"/>
      <c r="X713" s="117"/>
    </row>
    <row r="714" spans="15:24" ht="10" customHeight="1">
      <c r="O714" s="1"/>
      <c r="P714" s="1"/>
      <c r="Q714" s="1"/>
      <c r="R714" s="1"/>
      <c r="S714" s="1"/>
      <c r="T714" s="1"/>
      <c r="U714" s="1"/>
      <c r="V714" s="1"/>
      <c r="W714" s="1"/>
      <c r="X714" s="117"/>
    </row>
    <row r="715" spans="15:24" ht="10" customHeight="1">
      <c r="O715" s="1"/>
      <c r="P715" s="1"/>
      <c r="Q715" s="1"/>
      <c r="R715" s="1"/>
      <c r="S715" s="1"/>
      <c r="T715" s="1"/>
      <c r="U715" s="1"/>
      <c r="V715" s="1"/>
      <c r="W715" s="1"/>
      <c r="X715" s="117"/>
    </row>
    <row r="716" spans="15:24" ht="10" customHeight="1">
      <c r="O716" s="1"/>
      <c r="P716" s="1"/>
      <c r="Q716" s="1"/>
      <c r="R716" s="1"/>
      <c r="S716" s="1"/>
      <c r="T716" s="1"/>
      <c r="U716" s="1"/>
      <c r="V716" s="1"/>
      <c r="W716" s="1"/>
      <c r="X716" s="117"/>
    </row>
    <row r="717" spans="15:24" ht="10" customHeight="1">
      <c r="O717" s="1"/>
      <c r="P717" s="1"/>
      <c r="Q717" s="1"/>
      <c r="R717" s="1"/>
      <c r="S717" s="1"/>
      <c r="T717" s="1"/>
      <c r="U717" s="1"/>
      <c r="V717" s="1"/>
      <c r="W717" s="1"/>
      <c r="X717" s="117"/>
    </row>
    <row r="718" spans="15:24" ht="10" customHeight="1">
      <c r="O718" s="1"/>
      <c r="P718" s="1"/>
      <c r="Q718" s="1"/>
      <c r="R718" s="1"/>
      <c r="S718" s="1"/>
      <c r="T718" s="1"/>
      <c r="U718" s="1"/>
      <c r="V718" s="1"/>
      <c r="W718" s="1"/>
      <c r="X718" s="117"/>
    </row>
    <row r="719" spans="15:24" ht="10" customHeight="1">
      <c r="O719" s="1"/>
      <c r="P719" s="1"/>
      <c r="Q719" s="1"/>
      <c r="R719" s="1"/>
      <c r="S719" s="1"/>
      <c r="T719" s="1"/>
      <c r="U719" s="1"/>
      <c r="V719" s="1"/>
      <c r="W719" s="1"/>
      <c r="X719" s="117"/>
    </row>
    <row r="720" spans="15:24" ht="10" customHeight="1">
      <c r="O720" s="1"/>
      <c r="P720" s="1"/>
      <c r="Q720" s="1"/>
      <c r="R720" s="1"/>
      <c r="S720" s="1"/>
      <c r="T720" s="1"/>
      <c r="U720" s="1"/>
      <c r="V720" s="1"/>
      <c r="W720" s="1"/>
      <c r="X720" s="117"/>
    </row>
    <row r="721" spans="15:24" ht="10" customHeight="1">
      <c r="O721" s="1"/>
      <c r="P721" s="1"/>
      <c r="Q721" s="1"/>
      <c r="R721" s="1"/>
      <c r="S721" s="1"/>
      <c r="T721" s="1"/>
      <c r="U721" s="1"/>
      <c r="V721" s="1"/>
      <c r="W721" s="1"/>
      <c r="X721" s="117"/>
    </row>
    <row r="722" spans="15:24" ht="10" customHeight="1">
      <c r="O722" s="1"/>
      <c r="P722" s="1"/>
      <c r="Q722" s="1"/>
      <c r="R722" s="1"/>
      <c r="S722" s="1"/>
      <c r="T722" s="1"/>
      <c r="U722" s="1"/>
      <c r="V722" s="1"/>
      <c r="W722" s="1"/>
      <c r="X722" s="117"/>
    </row>
    <row r="723" spans="15:24" ht="10" customHeight="1">
      <c r="O723" s="1"/>
      <c r="P723" s="1"/>
      <c r="Q723" s="1"/>
      <c r="R723" s="1"/>
      <c r="S723" s="1"/>
      <c r="T723" s="1"/>
      <c r="U723" s="1"/>
      <c r="V723" s="1"/>
      <c r="W723" s="1"/>
      <c r="X723" s="117"/>
    </row>
    <row r="724" spans="15:24" ht="10" customHeight="1">
      <c r="O724" s="1"/>
      <c r="P724" s="1"/>
      <c r="Q724" s="1"/>
      <c r="R724" s="1"/>
      <c r="S724" s="1"/>
      <c r="T724" s="1"/>
      <c r="U724" s="1"/>
      <c r="V724" s="1"/>
      <c r="W724" s="1"/>
      <c r="X724" s="117"/>
    </row>
    <row r="725" spans="15:24" ht="10" customHeight="1">
      <c r="O725" s="1"/>
      <c r="P725" s="1"/>
      <c r="Q725" s="1"/>
      <c r="R725" s="1"/>
      <c r="S725" s="1"/>
      <c r="T725" s="1"/>
      <c r="U725" s="1"/>
      <c r="V725" s="1"/>
      <c r="W725" s="1"/>
      <c r="X725" s="117"/>
    </row>
    <row r="726" spans="15:24" ht="10" customHeight="1">
      <c r="O726" s="1"/>
      <c r="P726" s="1"/>
      <c r="Q726" s="1"/>
      <c r="R726" s="1"/>
      <c r="S726" s="1"/>
      <c r="T726" s="1"/>
      <c r="U726" s="1"/>
      <c r="V726" s="1"/>
      <c r="W726" s="1"/>
      <c r="X726" s="117"/>
    </row>
    <row r="727" spans="15:24" ht="10" customHeight="1">
      <c r="O727" s="1"/>
      <c r="P727" s="1"/>
      <c r="Q727" s="1"/>
      <c r="R727" s="1"/>
      <c r="S727" s="1"/>
      <c r="T727" s="1"/>
      <c r="U727" s="1"/>
      <c r="V727" s="1"/>
      <c r="W727" s="1"/>
      <c r="X727" s="117"/>
    </row>
    <row r="728" spans="15:24" ht="10" customHeight="1">
      <c r="O728" s="1"/>
      <c r="P728" s="1"/>
      <c r="Q728" s="1"/>
      <c r="R728" s="1"/>
      <c r="S728" s="1"/>
      <c r="T728" s="1"/>
      <c r="U728" s="1"/>
      <c r="V728" s="1"/>
      <c r="W728" s="1"/>
      <c r="X728" s="117"/>
    </row>
    <row r="729" spans="15:24" ht="10" customHeight="1">
      <c r="O729" s="1"/>
      <c r="P729" s="1"/>
      <c r="Q729" s="1"/>
      <c r="R729" s="1"/>
      <c r="S729" s="1"/>
      <c r="T729" s="1"/>
      <c r="U729" s="1"/>
      <c r="V729" s="1"/>
      <c r="W729" s="1"/>
      <c r="X729" s="117"/>
    </row>
    <row r="730" spans="15:24" ht="10" customHeight="1">
      <c r="O730" s="1"/>
      <c r="P730" s="1"/>
      <c r="Q730" s="1"/>
      <c r="R730" s="1"/>
      <c r="S730" s="1"/>
      <c r="T730" s="1"/>
      <c r="U730" s="1"/>
      <c r="V730" s="1"/>
      <c r="W730" s="1"/>
      <c r="X730" s="117"/>
    </row>
    <row r="731" spans="15:24" ht="10" customHeight="1">
      <c r="O731" s="1"/>
      <c r="P731" s="1"/>
      <c r="Q731" s="1"/>
      <c r="R731" s="1"/>
      <c r="S731" s="1"/>
      <c r="T731" s="1"/>
      <c r="U731" s="1"/>
      <c r="V731" s="1"/>
      <c r="W731" s="1"/>
      <c r="X731" s="117"/>
    </row>
    <row r="732" spans="15:24" ht="10" customHeight="1">
      <c r="O732" s="1"/>
      <c r="P732" s="1"/>
      <c r="Q732" s="1"/>
      <c r="R732" s="1"/>
      <c r="S732" s="1"/>
      <c r="T732" s="1"/>
      <c r="U732" s="1"/>
      <c r="V732" s="1"/>
      <c r="W732" s="1"/>
      <c r="X732" s="117"/>
    </row>
    <row r="733" spans="15:24" ht="10" customHeight="1">
      <c r="O733" s="1"/>
      <c r="P733" s="1"/>
      <c r="Q733" s="1"/>
      <c r="R733" s="1"/>
      <c r="S733" s="1"/>
      <c r="T733" s="1"/>
      <c r="U733" s="1"/>
      <c r="V733" s="1"/>
      <c r="W733" s="1"/>
      <c r="X733" s="117"/>
    </row>
    <row r="734" spans="15:24" ht="10" customHeight="1">
      <c r="O734" s="1"/>
      <c r="P734" s="1"/>
      <c r="Q734" s="1"/>
      <c r="R734" s="1"/>
      <c r="S734" s="1"/>
      <c r="T734" s="1"/>
      <c r="U734" s="1"/>
      <c r="V734" s="1"/>
      <c r="W734" s="1"/>
      <c r="X734" s="117"/>
    </row>
    <row r="735" spans="15:24" ht="10" customHeight="1">
      <c r="O735" s="1"/>
      <c r="P735" s="1"/>
      <c r="Q735" s="1"/>
      <c r="R735" s="1"/>
      <c r="S735" s="1"/>
      <c r="T735" s="1"/>
      <c r="U735" s="1"/>
      <c r="V735" s="1"/>
      <c r="W735" s="1"/>
      <c r="X735" s="117"/>
    </row>
    <row r="736" spans="15:24" ht="10" customHeight="1">
      <c r="O736" s="1"/>
      <c r="P736" s="1"/>
      <c r="Q736" s="1"/>
      <c r="R736" s="1"/>
      <c r="S736" s="1"/>
      <c r="T736" s="1"/>
      <c r="U736" s="1"/>
      <c r="V736" s="1"/>
      <c r="W736" s="1"/>
      <c r="X736" s="117"/>
    </row>
    <row r="737" spans="15:24" ht="10" customHeight="1">
      <c r="O737" s="1"/>
      <c r="P737" s="1"/>
      <c r="Q737" s="1"/>
      <c r="R737" s="1"/>
      <c r="S737" s="1"/>
      <c r="T737" s="1"/>
      <c r="U737" s="1"/>
      <c r="V737" s="1"/>
      <c r="W737" s="1"/>
      <c r="X737" s="117"/>
    </row>
    <row r="738" spans="15:24" ht="10" customHeight="1">
      <c r="O738" s="1"/>
      <c r="P738" s="1"/>
      <c r="Q738" s="1"/>
      <c r="R738" s="1"/>
      <c r="S738" s="1"/>
      <c r="T738" s="1"/>
      <c r="U738" s="1"/>
      <c r="V738" s="1"/>
      <c r="W738" s="1"/>
      <c r="X738" s="117"/>
    </row>
    <row r="739" spans="15:24" ht="10" customHeight="1">
      <c r="O739" s="1"/>
      <c r="P739" s="1"/>
      <c r="Q739" s="1"/>
      <c r="R739" s="1"/>
      <c r="S739" s="1"/>
      <c r="T739" s="1"/>
      <c r="U739" s="1"/>
      <c r="V739" s="1"/>
      <c r="W739" s="1"/>
      <c r="X739" s="117"/>
    </row>
    <row r="740" spans="15:24" ht="10" customHeight="1">
      <c r="O740" s="1"/>
      <c r="P740" s="1"/>
      <c r="Q740" s="1"/>
      <c r="R740" s="1"/>
      <c r="S740" s="1"/>
      <c r="T740" s="1"/>
      <c r="U740" s="1"/>
      <c r="V740" s="1"/>
      <c r="W740" s="1"/>
      <c r="X740" s="117"/>
    </row>
    <row r="741" spans="15:24" ht="10" customHeight="1">
      <c r="O741" s="1"/>
      <c r="P741" s="1"/>
      <c r="Q741" s="1"/>
      <c r="R741" s="1"/>
      <c r="S741" s="1"/>
      <c r="T741" s="1"/>
      <c r="U741" s="1"/>
      <c r="V741" s="1"/>
      <c r="W741" s="1"/>
      <c r="X741" s="117"/>
    </row>
    <row r="742" spans="15:24" ht="10" customHeight="1">
      <c r="O742" s="1"/>
      <c r="P742" s="1"/>
      <c r="Q742" s="1"/>
      <c r="R742" s="1"/>
      <c r="S742" s="1"/>
      <c r="T742" s="1"/>
      <c r="U742" s="1"/>
      <c r="V742" s="1"/>
      <c r="W742" s="1"/>
      <c r="X742" s="117"/>
    </row>
    <row r="743" spans="15:24" ht="10" customHeight="1">
      <c r="O743" s="1"/>
      <c r="P743" s="1"/>
      <c r="Q743" s="1"/>
      <c r="R743" s="1"/>
      <c r="S743" s="1"/>
      <c r="T743" s="1"/>
      <c r="U743" s="1"/>
      <c r="V743" s="1"/>
      <c r="W743" s="1"/>
      <c r="X743" s="117"/>
    </row>
    <row r="744" spans="15:24" ht="10" customHeight="1">
      <c r="O744" s="1"/>
      <c r="P744" s="1"/>
      <c r="Q744" s="1"/>
      <c r="R744" s="1"/>
      <c r="S744" s="1"/>
      <c r="T744" s="1"/>
      <c r="U744" s="1"/>
      <c r="V744" s="1"/>
      <c r="W744" s="1"/>
      <c r="X744" s="117"/>
    </row>
    <row r="745" spans="15:24" ht="10" customHeight="1">
      <c r="O745" s="1"/>
      <c r="P745" s="1"/>
      <c r="Q745" s="1"/>
      <c r="R745" s="1"/>
      <c r="S745" s="1"/>
      <c r="T745" s="1"/>
      <c r="U745" s="1"/>
      <c r="V745" s="1"/>
      <c r="W745" s="1"/>
      <c r="X745" s="117"/>
    </row>
    <row r="746" spans="15:24" ht="10" customHeight="1">
      <c r="O746" s="1"/>
      <c r="P746" s="1"/>
      <c r="Q746" s="1"/>
      <c r="R746" s="1"/>
      <c r="S746" s="1"/>
      <c r="T746" s="1"/>
      <c r="U746" s="1"/>
      <c r="V746" s="1"/>
      <c r="W746" s="1"/>
      <c r="X746" s="117"/>
    </row>
    <row r="747" spans="15:24" ht="10" customHeight="1">
      <c r="O747" s="1"/>
      <c r="P747" s="1"/>
      <c r="Q747" s="1"/>
      <c r="R747" s="1"/>
      <c r="S747" s="1"/>
      <c r="T747" s="1"/>
      <c r="U747" s="1"/>
      <c r="V747" s="1"/>
      <c r="W747" s="1"/>
      <c r="X747" s="117"/>
    </row>
    <row r="748" spans="15:24" ht="10" customHeight="1">
      <c r="O748" s="1"/>
      <c r="P748" s="1"/>
      <c r="Q748" s="1"/>
      <c r="R748" s="1"/>
      <c r="S748" s="1"/>
      <c r="T748" s="1"/>
      <c r="U748" s="1"/>
      <c r="V748" s="1"/>
      <c r="W748" s="1"/>
      <c r="X748" s="117"/>
    </row>
    <row r="749" spans="15:24" ht="10" customHeight="1">
      <c r="O749" s="1"/>
      <c r="P749" s="1"/>
      <c r="Q749" s="1"/>
      <c r="R749" s="1"/>
      <c r="S749" s="1"/>
      <c r="T749" s="1"/>
      <c r="U749" s="1"/>
      <c r="V749" s="1"/>
      <c r="W749" s="1"/>
      <c r="X749" s="117"/>
    </row>
    <row r="750" spans="15:24" ht="10" customHeight="1">
      <c r="O750" s="1"/>
      <c r="P750" s="1"/>
      <c r="Q750" s="1"/>
      <c r="R750" s="1"/>
      <c r="S750" s="1"/>
      <c r="T750" s="1"/>
      <c r="U750" s="1"/>
      <c r="V750" s="1"/>
      <c r="W750" s="1"/>
      <c r="X750" s="117"/>
    </row>
    <row r="751" spans="15:24" ht="10" customHeight="1">
      <c r="O751" s="1"/>
      <c r="P751" s="1"/>
      <c r="Q751" s="1"/>
      <c r="R751" s="1"/>
      <c r="S751" s="1"/>
      <c r="T751" s="1"/>
      <c r="U751" s="1"/>
      <c r="V751" s="1"/>
      <c r="W751" s="1"/>
      <c r="X751" s="117"/>
    </row>
    <row r="752" spans="15:24" ht="10" customHeight="1">
      <c r="O752" s="1"/>
      <c r="P752" s="1"/>
      <c r="Q752" s="1"/>
      <c r="R752" s="1"/>
      <c r="S752" s="1"/>
      <c r="T752" s="1"/>
      <c r="U752" s="1"/>
      <c r="V752" s="1"/>
      <c r="W752" s="1"/>
      <c r="X752" s="117"/>
    </row>
    <row r="753" spans="15:24" ht="10" customHeight="1">
      <c r="O753" s="1"/>
      <c r="P753" s="1"/>
      <c r="Q753" s="1"/>
      <c r="R753" s="1"/>
      <c r="S753" s="1"/>
      <c r="T753" s="1"/>
      <c r="U753" s="1"/>
      <c r="V753" s="1"/>
      <c r="W753" s="1"/>
      <c r="X753" s="117"/>
    </row>
    <row r="754" spans="15:24" ht="10" customHeight="1">
      <c r="O754" s="1"/>
      <c r="P754" s="1"/>
      <c r="Q754" s="1"/>
      <c r="R754" s="1"/>
      <c r="S754" s="1"/>
      <c r="T754" s="1"/>
      <c r="U754" s="1"/>
      <c r="V754" s="1"/>
      <c r="W754" s="1"/>
      <c r="X754" s="117"/>
    </row>
    <row r="755" spans="15:24" ht="10" customHeight="1">
      <c r="O755" s="1"/>
      <c r="P755" s="1"/>
      <c r="Q755" s="1"/>
      <c r="R755" s="1"/>
      <c r="S755" s="1"/>
      <c r="T755" s="1"/>
      <c r="U755" s="1"/>
      <c r="V755" s="1"/>
      <c r="W755" s="1"/>
      <c r="X755" s="117"/>
    </row>
    <row r="756" spans="15:24" ht="10" customHeight="1">
      <c r="O756" s="1"/>
      <c r="P756" s="1"/>
      <c r="Q756" s="1"/>
      <c r="R756" s="1"/>
      <c r="S756" s="1"/>
      <c r="T756" s="1"/>
      <c r="U756" s="1"/>
      <c r="V756" s="1"/>
      <c r="W756" s="1"/>
      <c r="X756" s="117"/>
    </row>
    <row r="757" spans="15:24" ht="10" customHeight="1">
      <c r="O757" s="1"/>
      <c r="P757" s="1"/>
      <c r="Q757" s="1"/>
      <c r="R757" s="1"/>
      <c r="S757" s="1"/>
      <c r="T757" s="1"/>
      <c r="U757" s="1"/>
      <c r="V757" s="1"/>
      <c r="W757" s="1"/>
      <c r="X757" s="117"/>
    </row>
    <row r="758" spans="15:24" ht="10" customHeight="1">
      <c r="O758" s="1"/>
      <c r="P758" s="1"/>
      <c r="Q758" s="1"/>
      <c r="R758" s="1"/>
      <c r="S758" s="1"/>
      <c r="T758" s="1"/>
      <c r="U758" s="1"/>
      <c r="V758" s="1"/>
      <c r="W758" s="1"/>
      <c r="X758" s="117"/>
    </row>
    <row r="759" spans="15:24" ht="10" customHeight="1">
      <c r="O759" s="1"/>
      <c r="P759" s="1"/>
      <c r="Q759" s="1"/>
      <c r="R759" s="1"/>
      <c r="S759" s="1"/>
      <c r="T759" s="1"/>
      <c r="U759" s="1"/>
      <c r="V759" s="1"/>
      <c r="W759" s="1"/>
      <c r="X759" s="117"/>
    </row>
    <row r="760" spans="15:24" ht="10" customHeight="1">
      <c r="O760" s="1"/>
      <c r="P760" s="1"/>
      <c r="Q760" s="1"/>
      <c r="R760" s="1"/>
      <c r="S760" s="1"/>
      <c r="T760" s="1"/>
      <c r="U760" s="1"/>
      <c r="V760" s="1"/>
      <c r="W760" s="1"/>
      <c r="X760" s="117"/>
    </row>
    <row r="761" spans="15:24" ht="10" customHeight="1">
      <c r="O761" s="1"/>
      <c r="P761" s="1"/>
      <c r="Q761" s="1"/>
      <c r="R761" s="1"/>
      <c r="S761" s="1"/>
      <c r="T761" s="1"/>
      <c r="U761" s="1"/>
      <c r="V761" s="1"/>
      <c r="W761" s="1"/>
      <c r="X761" s="117"/>
    </row>
    <row r="762" spans="15:24" ht="10" customHeight="1">
      <c r="O762" s="1"/>
      <c r="P762" s="1"/>
      <c r="Q762" s="1"/>
      <c r="R762" s="1"/>
      <c r="S762" s="1"/>
      <c r="T762" s="1"/>
      <c r="U762" s="1"/>
      <c r="V762" s="1"/>
      <c r="W762" s="1"/>
      <c r="X762" s="117"/>
    </row>
    <row r="763" spans="15:24" ht="10" customHeight="1">
      <c r="O763" s="1"/>
      <c r="P763" s="1"/>
      <c r="Q763" s="1"/>
      <c r="R763" s="1"/>
      <c r="S763" s="1"/>
      <c r="T763" s="1"/>
      <c r="U763" s="1"/>
      <c r="V763" s="1"/>
      <c r="W763" s="1"/>
      <c r="X763" s="117"/>
    </row>
    <row r="764" spans="15:24" ht="10" customHeight="1">
      <c r="O764" s="1"/>
      <c r="P764" s="1"/>
      <c r="Q764" s="1"/>
      <c r="R764" s="1"/>
      <c r="S764" s="1"/>
      <c r="T764" s="1"/>
      <c r="U764" s="1"/>
      <c r="V764" s="1"/>
      <c r="W764" s="1"/>
      <c r="X764" s="117"/>
    </row>
    <row r="765" spans="15:24" ht="10" customHeight="1">
      <c r="O765" s="1"/>
      <c r="P765" s="1"/>
      <c r="Q765" s="1"/>
      <c r="R765" s="1"/>
      <c r="S765" s="1"/>
      <c r="T765" s="1"/>
      <c r="U765" s="1"/>
      <c r="V765" s="1"/>
      <c r="W765" s="1"/>
      <c r="X765" s="117"/>
    </row>
    <row r="766" spans="15:24" ht="10" customHeight="1">
      <c r="O766" s="1"/>
      <c r="P766" s="1"/>
      <c r="Q766" s="1"/>
      <c r="R766" s="1"/>
      <c r="S766" s="1"/>
      <c r="T766" s="1"/>
      <c r="U766" s="1"/>
      <c r="V766" s="1"/>
      <c r="W766" s="1"/>
      <c r="X766" s="117"/>
    </row>
    <row r="767" spans="15:24" ht="10" customHeight="1">
      <c r="O767" s="1"/>
      <c r="P767" s="1"/>
      <c r="Q767" s="1"/>
      <c r="R767" s="1"/>
      <c r="S767" s="1"/>
      <c r="T767" s="1"/>
      <c r="U767" s="1"/>
      <c r="V767" s="1"/>
      <c r="W767" s="1"/>
      <c r="X767" s="117"/>
    </row>
    <row r="768" spans="15:24" ht="10" customHeight="1">
      <c r="O768" s="1"/>
      <c r="P768" s="1"/>
      <c r="Q768" s="1"/>
      <c r="R768" s="1"/>
      <c r="S768" s="1"/>
      <c r="T768" s="1"/>
      <c r="U768" s="1"/>
      <c r="V768" s="1"/>
      <c r="W768" s="1"/>
      <c r="X768" s="117"/>
    </row>
    <row r="769" spans="15:24" ht="10" customHeight="1">
      <c r="O769" s="1"/>
      <c r="P769" s="1"/>
      <c r="Q769" s="1"/>
      <c r="R769" s="1"/>
      <c r="S769" s="1"/>
      <c r="T769" s="1"/>
      <c r="U769" s="1"/>
      <c r="V769" s="1"/>
      <c r="W769" s="1"/>
      <c r="X769" s="117"/>
    </row>
    <row r="770" spans="15:24" ht="10" customHeight="1">
      <c r="O770" s="1"/>
      <c r="P770" s="1"/>
      <c r="Q770" s="1"/>
      <c r="R770" s="1"/>
      <c r="S770" s="1"/>
      <c r="T770" s="1"/>
      <c r="U770" s="1"/>
      <c r="V770" s="1"/>
      <c r="W770" s="1"/>
      <c r="X770" s="117"/>
    </row>
    <row r="771" spans="15:24" ht="10" customHeight="1">
      <c r="O771" s="1"/>
      <c r="P771" s="1"/>
      <c r="Q771" s="1"/>
      <c r="R771" s="1"/>
      <c r="S771" s="1"/>
      <c r="T771" s="1"/>
      <c r="U771" s="1"/>
      <c r="V771" s="1"/>
      <c r="W771" s="1"/>
      <c r="X771" s="117"/>
    </row>
    <row r="772" spans="15:24" ht="10" customHeight="1">
      <c r="O772" s="1"/>
      <c r="P772" s="1"/>
      <c r="Q772" s="1"/>
      <c r="R772" s="1"/>
      <c r="S772" s="1"/>
      <c r="T772" s="1"/>
      <c r="U772" s="1"/>
      <c r="V772" s="1"/>
      <c r="W772" s="1"/>
      <c r="X772" s="117"/>
    </row>
    <row r="773" spans="15:24" ht="10" customHeight="1">
      <c r="O773" s="1"/>
      <c r="P773" s="1"/>
      <c r="Q773" s="1"/>
      <c r="R773" s="1"/>
      <c r="S773" s="1"/>
      <c r="T773" s="1"/>
      <c r="U773" s="1"/>
      <c r="V773" s="1"/>
      <c r="W773" s="1"/>
      <c r="X773" s="117"/>
    </row>
    <row r="774" spans="15:24" ht="10" customHeight="1">
      <c r="O774" s="1"/>
      <c r="P774" s="1"/>
      <c r="Q774" s="1"/>
      <c r="R774" s="1"/>
      <c r="S774" s="1"/>
      <c r="T774" s="1"/>
      <c r="U774" s="1"/>
      <c r="V774" s="1"/>
      <c r="W774" s="1"/>
      <c r="X774" s="117"/>
    </row>
    <row r="775" spans="15:24" ht="10" customHeight="1">
      <c r="O775" s="1"/>
      <c r="P775" s="1"/>
      <c r="Q775" s="1"/>
      <c r="R775" s="1"/>
      <c r="S775" s="1"/>
      <c r="T775" s="1"/>
      <c r="U775" s="1"/>
      <c r="V775" s="1"/>
      <c r="W775" s="1"/>
      <c r="X775" s="117"/>
    </row>
    <row r="776" spans="15:24" ht="10" customHeight="1">
      <c r="O776" s="1"/>
      <c r="P776" s="1"/>
      <c r="Q776" s="1"/>
      <c r="R776" s="1"/>
      <c r="S776" s="1"/>
      <c r="T776" s="1"/>
      <c r="U776" s="1"/>
      <c r="V776" s="1"/>
      <c r="W776" s="1"/>
      <c r="X776" s="117"/>
    </row>
    <row r="777" spans="15:24" ht="10" customHeight="1">
      <c r="O777" s="1"/>
      <c r="P777" s="1"/>
      <c r="Q777" s="1"/>
      <c r="R777" s="1"/>
      <c r="S777" s="1"/>
      <c r="T777" s="1"/>
      <c r="U777" s="1"/>
      <c r="V777" s="1"/>
      <c r="W777" s="1"/>
      <c r="X777" s="117"/>
    </row>
    <row r="778" spans="15:24" ht="10" customHeight="1">
      <c r="O778" s="1"/>
      <c r="P778" s="1"/>
      <c r="Q778" s="1"/>
      <c r="R778" s="1"/>
      <c r="S778" s="1"/>
      <c r="T778" s="1"/>
      <c r="U778" s="1"/>
      <c r="V778" s="1"/>
      <c r="W778" s="1"/>
      <c r="X778" s="117"/>
    </row>
    <row r="779" spans="15:24" ht="10" customHeight="1">
      <c r="O779" s="1"/>
      <c r="P779" s="1"/>
      <c r="Q779" s="1"/>
      <c r="R779" s="1"/>
      <c r="S779" s="1"/>
      <c r="T779" s="1"/>
      <c r="U779" s="1"/>
      <c r="V779" s="1"/>
      <c r="W779" s="1"/>
      <c r="X779" s="117"/>
    </row>
    <row r="780" spans="15:24" ht="10" customHeight="1">
      <c r="O780" s="1"/>
      <c r="P780" s="1"/>
      <c r="Q780" s="1"/>
      <c r="R780" s="1"/>
      <c r="S780" s="1"/>
      <c r="T780" s="1"/>
      <c r="U780" s="1"/>
      <c r="V780" s="1"/>
      <c r="W780" s="1"/>
      <c r="X780" s="117"/>
    </row>
    <row r="781" spans="15:24" ht="10" customHeight="1">
      <c r="O781" s="1"/>
      <c r="P781" s="1"/>
      <c r="Q781" s="1"/>
      <c r="R781" s="1"/>
      <c r="S781" s="1"/>
      <c r="T781" s="1"/>
      <c r="U781" s="1"/>
      <c r="V781" s="1"/>
      <c r="W781" s="1"/>
      <c r="X781" s="117"/>
    </row>
    <row r="782" spans="15:24" ht="10" customHeight="1">
      <c r="O782" s="1"/>
      <c r="P782" s="1"/>
      <c r="Q782" s="1"/>
      <c r="R782" s="1"/>
      <c r="S782" s="1"/>
      <c r="T782" s="1"/>
      <c r="U782" s="1"/>
      <c r="V782" s="1"/>
      <c r="W782" s="1"/>
      <c r="X782" s="117"/>
    </row>
    <row r="783" spans="15:24" ht="10" customHeight="1">
      <c r="O783" s="1"/>
      <c r="P783" s="1"/>
      <c r="Q783" s="1"/>
      <c r="R783" s="1"/>
      <c r="S783" s="1"/>
      <c r="T783" s="1"/>
      <c r="U783" s="1"/>
      <c r="V783" s="1"/>
      <c r="W783" s="1"/>
      <c r="X783" s="117"/>
    </row>
    <row r="784" spans="15:24" ht="10" customHeight="1">
      <c r="O784" s="1"/>
      <c r="P784" s="1"/>
      <c r="Q784" s="1"/>
      <c r="R784" s="1"/>
      <c r="S784" s="1"/>
      <c r="T784" s="1"/>
      <c r="U784" s="1"/>
      <c r="V784" s="1"/>
      <c r="W784" s="1"/>
      <c r="X784" s="117"/>
    </row>
    <row r="785" spans="15:24" ht="10" customHeight="1">
      <c r="O785" s="1"/>
      <c r="P785" s="1"/>
      <c r="Q785" s="1"/>
      <c r="R785" s="1"/>
      <c r="S785" s="1"/>
      <c r="T785" s="1"/>
      <c r="U785" s="1"/>
      <c r="V785" s="1"/>
      <c r="W785" s="1"/>
      <c r="X785" s="117"/>
    </row>
    <row r="786" spans="15:24" ht="10" customHeight="1">
      <c r="O786" s="1"/>
      <c r="P786" s="1"/>
      <c r="Q786" s="1"/>
      <c r="R786" s="1"/>
      <c r="S786" s="1"/>
      <c r="T786" s="1"/>
      <c r="U786" s="1"/>
      <c r="V786" s="1"/>
      <c r="W786" s="1"/>
      <c r="X786" s="117"/>
    </row>
    <row r="787" spans="15:24" ht="10" customHeight="1">
      <c r="O787" s="1"/>
      <c r="P787" s="1"/>
      <c r="Q787" s="1"/>
      <c r="R787" s="1"/>
      <c r="S787" s="1"/>
      <c r="T787" s="1"/>
      <c r="U787" s="1"/>
      <c r="V787" s="1"/>
      <c r="W787" s="1"/>
      <c r="X787" s="117"/>
    </row>
    <row r="788" spans="15:24" ht="10" customHeight="1">
      <c r="O788" s="1"/>
      <c r="P788" s="1"/>
      <c r="Q788" s="1"/>
      <c r="R788" s="1"/>
      <c r="S788" s="1"/>
      <c r="T788" s="1"/>
      <c r="U788" s="1"/>
      <c r="V788" s="1"/>
      <c r="W788" s="1"/>
      <c r="X788" s="117"/>
    </row>
    <row r="789" spans="15:24" ht="10" customHeight="1">
      <c r="O789" s="1"/>
      <c r="P789" s="1"/>
      <c r="Q789" s="1"/>
      <c r="R789" s="1"/>
      <c r="S789" s="1"/>
      <c r="T789" s="1"/>
      <c r="U789" s="1"/>
      <c r="V789" s="1"/>
      <c r="W789" s="1"/>
      <c r="X789" s="117"/>
    </row>
    <row r="790" spans="15:24" ht="10" customHeight="1">
      <c r="O790" s="1"/>
      <c r="P790" s="1"/>
      <c r="Q790" s="1"/>
      <c r="R790" s="1"/>
      <c r="S790" s="1"/>
      <c r="T790" s="1"/>
      <c r="U790" s="1"/>
      <c r="V790" s="1"/>
      <c r="W790" s="1"/>
      <c r="X790" s="117"/>
    </row>
    <row r="791" spans="15:24" ht="10" customHeight="1">
      <c r="O791" s="1"/>
      <c r="P791" s="1"/>
      <c r="Q791" s="1"/>
      <c r="R791" s="1"/>
      <c r="S791" s="1"/>
      <c r="T791" s="1"/>
      <c r="U791" s="1"/>
      <c r="V791" s="1"/>
      <c r="W791" s="1"/>
      <c r="X791" s="117"/>
    </row>
    <row r="792" spans="15:24" ht="10" customHeight="1">
      <c r="O792" s="1"/>
      <c r="P792" s="1"/>
      <c r="Q792" s="1"/>
      <c r="R792" s="1"/>
      <c r="S792" s="1"/>
      <c r="T792" s="1"/>
      <c r="U792" s="1"/>
      <c r="V792" s="1"/>
      <c r="W792" s="1"/>
      <c r="X792" s="117"/>
    </row>
    <row r="793" spans="15:24" ht="10" customHeight="1">
      <c r="O793" s="1"/>
      <c r="P793" s="1"/>
      <c r="Q793" s="1"/>
      <c r="R793" s="1"/>
      <c r="S793" s="1"/>
      <c r="T793" s="1"/>
      <c r="U793" s="1"/>
      <c r="V793" s="1"/>
      <c r="W793" s="1"/>
      <c r="X793" s="117"/>
    </row>
    <row r="794" spans="15:24" ht="10" customHeight="1">
      <c r="O794" s="1"/>
      <c r="P794" s="1"/>
      <c r="Q794" s="1"/>
      <c r="R794" s="1"/>
      <c r="S794" s="1"/>
      <c r="T794" s="1"/>
      <c r="U794" s="1"/>
      <c r="V794" s="1"/>
      <c r="W794" s="1"/>
      <c r="X794" s="117"/>
    </row>
    <row r="795" spans="15:24" ht="10" customHeight="1">
      <c r="O795" s="1"/>
      <c r="P795" s="1"/>
      <c r="Q795" s="1"/>
      <c r="R795" s="1"/>
      <c r="S795" s="1"/>
      <c r="T795" s="1"/>
      <c r="U795" s="1"/>
      <c r="V795" s="1"/>
      <c r="W795" s="1"/>
      <c r="X795" s="117"/>
    </row>
    <row r="796" spans="15:24" ht="10" customHeight="1">
      <c r="O796" s="1"/>
      <c r="P796" s="1"/>
      <c r="Q796" s="1"/>
      <c r="R796" s="1"/>
      <c r="S796" s="1"/>
      <c r="T796" s="1"/>
      <c r="U796" s="1"/>
      <c r="V796" s="1"/>
      <c r="W796" s="1"/>
      <c r="X796" s="117"/>
    </row>
    <row r="797" spans="15:24" ht="10" customHeight="1">
      <c r="O797" s="1"/>
      <c r="P797" s="1"/>
      <c r="Q797" s="1"/>
      <c r="R797" s="1"/>
      <c r="S797" s="1"/>
      <c r="T797" s="1"/>
      <c r="U797" s="1"/>
      <c r="V797" s="1"/>
      <c r="W797" s="1"/>
      <c r="X797" s="117"/>
    </row>
    <row r="798" spans="15:24" ht="10" customHeight="1">
      <c r="O798" s="1"/>
      <c r="P798" s="1"/>
      <c r="Q798" s="1"/>
      <c r="R798" s="1"/>
      <c r="S798" s="1"/>
      <c r="T798" s="1"/>
      <c r="U798" s="1"/>
      <c r="V798" s="1"/>
      <c r="W798" s="1"/>
      <c r="X798" s="117"/>
    </row>
    <row r="799" spans="15:24" ht="10" customHeight="1">
      <c r="O799" s="1"/>
      <c r="P799" s="1"/>
      <c r="Q799" s="1"/>
      <c r="R799" s="1"/>
      <c r="S799" s="1"/>
      <c r="T799" s="1"/>
      <c r="U799" s="1"/>
      <c r="V799" s="1"/>
      <c r="W799" s="1"/>
      <c r="X799" s="117"/>
    </row>
    <row r="800" spans="15:24" ht="10" customHeight="1">
      <c r="O800" s="1"/>
      <c r="P800" s="1"/>
      <c r="Q800" s="1"/>
      <c r="R800" s="1"/>
      <c r="S800" s="1"/>
      <c r="T800" s="1"/>
      <c r="U800" s="1"/>
      <c r="V800" s="1"/>
      <c r="W800" s="1"/>
      <c r="X800" s="117"/>
    </row>
    <row r="801" spans="15:24" ht="10" customHeight="1">
      <c r="O801" s="1"/>
      <c r="P801" s="1"/>
      <c r="Q801" s="1"/>
      <c r="R801" s="1"/>
      <c r="S801" s="1"/>
      <c r="T801" s="1"/>
      <c r="U801" s="1"/>
      <c r="V801" s="1"/>
      <c r="W801" s="1"/>
      <c r="X801" s="117"/>
    </row>
    <row r="802" spans="15:24" ht="10" customHeight="1">
      <c r="O802" s="1"/>
      <c r="P802" s="1"/>
      <c r="Q802" s="1"/>
      <c r="R802" s="1"/>
      <c r="S802" s="1"/>
      <c r="T802" s="1"/>
      <c r="U802" s="1"/>
      <c r="V802" s="1"/>
      <c r="W802" s="1"/>
      <c r="X802" s="117"/>
    </row>
    <row r="803" spans="15:24" ht="10" customHeight="1">
      <c r="O803" s="1"/>
      <c r="P803" s="1"/>
      <c r="Q803" s="1"/>
      <c r="R803" s="1"/>
      <c r="S803" s="1"/>
      <c r="T803" s="1"/>
      <c r="U803" s="1"/>
      <c r="V803" s="1"/>
      <c r="W803" s="1"/>
      <c r="X803" s="117"/>
    </row>
    <row r="804" spans="15:24" ht="10" customHeight="1">
      <c r="O804" s="1"/>
      <c r="P804" s="1"/>
      <c r="Q804" s="1"/>
      <c r="R804" s="1"/>
      <c r="S804" s="1"/>
      <c r="T804" s="1"/>
      <c r="U804" s="1"/>
      <c r="V804" s="1"/>
      <c r="W804" s="1"/>
      <c r="X804" s="117"/>
    </row>
    <row r="805" spans="15:24" ht="10" customHeight="1">
      <c r="O805" s="1"/>
      <c r="P805" s="1"/>
      <c r="Q805" s="1"/>
      <c r="R805" s="1"/>
      <c r="S805" s="1"/>
      <c r="T805" s="1"/>
      <c r="U805" s="1"/>
      <c r="V805" s="1"/>
      <c r="W805" s="1"/>
      <c r="X805" s="117"/>
    </row>
    <row r="806" spans="15:24" ht="10" customHeight="1">
      <c r="O806" s="1"/>
      <c r="P806" s="1"/>
      <c r="Q806" s="1"/>
      <c r="R806" s="1"/>
      <c r="S806" s="1"/>
      <c r="T806" s="1"/>
      <c r="U806" s="1"/>
      <c r="V806" s="1"/>
      <c r="W806" s="1"/>
      <c r="X806" s="117"/>
    </row>
    <row r="807" spans="15:24" ht="10" customHeight="1">
      <c r="O807" s="1"/>
      <c r="P807" s="1"/>
      <c r="Q807" s="1"/>
      <c r="R807" s="1"/>
      <c r="S807" s="1"/>
      <c r="T807" s="1"/>
      <c r="U807" s="1"/>
      <c r="V807" s="1"/>
      <c r="W807" s="1"/>
      <c r="X807" s="117"/>
    </row>
    <row r="808" spans="15:24" ht="10" customHeight="1">
      <c r="O808" s="1"/>
      <c r="P808" s="1"/>
      <c r="Q808" s="1"/>
      <c r="R808" s="1"/>
      <c r="S808" s="1"/>
      <c r="T808" s="1"/>
      <c r="U808" s="1"/>
      <c r="V808" s="1"/>
      <c r="W808" s="1"/>
      <c r="X808" s="117"/>
    </row>
    <row r="809" spans="15:24" ht="10" customHeight="1">
      <c r="O809" s="1"/>
      <c r="P809" s="1"/>
      <c r="Q809" s="1"/>
      <c r="R809" s="1"/>
      <c r="S809" s="1"/>
      <c r="T809" s="1"/>
      <c r="U809" s="1"/>
      <c r="V809" s="1"/>
      <c r="W809" s="1"/>
      <c r="X809" s="117"/>
    </row>
    <row r="810" spans="15:24" ht="10" customHeight="1">
      <c r="O810" s="1"/>
      <c r="P810" s="1"/>
      <c r="Q810" s="1"/>
      <c r="R810" s="1"/>
      <c r="S810" s="1"/>
      <c r="T810" s="1"/>
      <c r="U810" s="1"/>
      <c r="V810" s="1"/>
      <c r="W810" s="1"/>
      <c r="X810" s="117"/>
    </row>
    <row r="811" spans="15:24" ht="10" customHeight="1">
      <c r="O811" s="1"/>
      <c r="P811" s="1"/>
      <c r="Q811" s="1"/>
      <c r="R811" s="1"/>
      <c r="S811" s="1"/>
      <c r="T811" s="1"/>
      <c r="U811" s="1"/>
      <c r="V811" s="1"/>
      <c r="W811" s="1"/>
      <c r="X811" s="117"/>
    </row>
    <row r="812" spans="15:24" ht="10" customHeight="1">
      <c r="O812" s="1"/>
      <c r="P812" s="1"/>
      <c r="Q812" s="1"/>
      <c r="R812" s="1"/>
      <c r="S812" s="1"/>
      <c r="T812" s="1"/>
      <c r="U812" s="1"/>
      <c r="V812" s="1"/>
      <c r="W812" s="1"/>
      <c r="X812" s="117"/>
    </row>
    <row r="813" spans="15:24" ht="10" customHeight="1">
      <c r="O813" s="1"/>
      <c r="P813" s="1"/>
      <c r="Q813" s="1"/>
      <c r="R813" s="1"/>
      <c r="S813" s="1"/>
      <c r="T813" s="1"/>
      <c r="U813" s="1"/>
      <c r="V813" s="1"/>
      <c r="W813" s="1"/>
      <c r="X813" s="117"/>
    </row>
    <row r="814" spans="15:24" ht="10" customHeight="1">
      <c r="O814" s="1"/>
      <c r="P814" s="1"/>
      <c r="Q814" s="1"/>
      <c r="R814" s="1"/>
      <c r="S814" s="1"/>
      <c r="T814" s="1"/>
      <c r="U814" s="1"/>
      <c r="V814" s="1"/>
      <c r="W814" s="1"/>
      <c r="X814" s="117"/>
    </row>
    <row r="815" spans="15:24" ht="10" customHeight="1">
      <c r="O815" s="1"/>
      <c r="P815" s="1"/>
      <c r="Q815" s="1"/>
      <c r="R815" s="1"/>
      <c r="S815" s="1"/>
      <c r="T815" s="1"/>
      <c r="U815" s="1"/>
      <c r="V815" s="1"/>
      <c r="W815" s="1"/>
      <c r="X815" s="117"/>
    </row>
    <row r="816" spans="15:24" ht="10" customHeight="1">
      <c r="O816" s="1"/>
      <c r="P816" s="1"/>
      <c r="Q816" s="1"/>
      <c r="R816" s="1"/>
      <c r="S816" s="1"/>
      <c r="T816" s="1"/>
      <c r="U816" s="1"/>
      <c r="V816" s="1"/>
      <c r="W816" s="1"/>
      <c r="X816" s="117"/>
    </row>
    <row r="817" spans="15:24" ht="10" customHeight="1">
      <c r="O817" s="1"/>
      <c r="P817" s="1"/>
      <c r="Q817" s="1"/>
      <c r="R817" s="1"/>
      <c r="S817" s="1"/>
      <c r="T817" s="1"/>
      <c r="U817" s="1"/>
      <c r="V817" s="1"/>
      <c r="W817" s="1"/>
      <c r="X817" s="117"/>
    </row>
    <row r="818" spans="15:24" ht="10" customHeight="1">
      <c r="O818" s="1"/>
      <c r="P818" s="1"/>
      <c r="Q818" s="1"/>
      <c r="R818" s="1"/>
      <c r="S818" s="1"/>
      <c r="T818" s="1"/>
      <c r="U818" s="1"/>
      <c r="V818" s="1"/>
      <c r="W818" s="1"/>
      <c r="X818" s="117"/>
    </row>
    <row r="819" spans="15:24" ht="10" customHeight="1">
      <c r="O819" s="1"/>
      <c r="P819" s="1"/>
      <c r="Q819" s="1"/>
      <c r="R819" s="1"/>
      <c r="S819" s="1"/>
      <c r="T819" s="1"/>
      <c r="U819" s="1"/>
      <c r="V819" s="1"/>
      <c r="W819" s="1"/>
      <c r="X819" s="117"/>
    </row>
    <row r="820" spans="15:24" ht="10" customHeight="1">
      <c r="O820" s="1"/>
      <c r="P820" s="1"/>
      <c r="Q820" s="1"/>
      <c r="R820" s="1"/>
      <c r="S820" s="1"/>
      <c r="T820" s="1"/>
      <c r="U820" s="1"/>
      <c r="V820" s="1"/>
      <c r="W820" s="1"/>
      <c r="X820" s="117"/>
    </row>
    <row r="821" spans="15:24" ht="10" customHeight="1">
      <c r="O821" s="1"/>
      <c r="P821" s="1"/>
      <c r="Q821" s="1"/>
      <c r="R821" s="1"/>
      <c r="S821" s="1"/>
      <c r="T821" s="1"/>
      <c r="U821" s="1"/>
      <c r="V821" s="1"/>
      <c r="W821" s="1"/>
      <c r="X821" s="117"/>
    </row>
    <row r="822" spans="15:24" ht="10" customHeight="1">
      <c r="O822" s="1"/>
      <c r="P822" s="1"/>
      <c r="Q822" s="1"/>
      <c r="R822" s="1"/>
      <c r="S822" s="1"/>
      <c r="T822" s="1"/>
      <c r="U822" s="1"/>
      <c r="V822" s="1"/>
      <c r="W822" s="1"/>
      <c r="X822" s="117"/>
    </row>
    <row r="823" spans="15:24" ht="10" customHeight="1">
      <c r="O823" s="1"/>
      <c r="P823" s="1"/>
      <c r="Q823" s="1"/>
      <c r="R823" s="1"/>
      <c r="S823" s="1"/>
      <c r="T823" s="1"/>
      <c r="U823" s="1"/>
      <c r="V823" s="1"/>
      <c r="W823" s="1"/>
      <c r="X823" s="117"/>
    </row>
    <row r="824" spans="15:24" ht="10" customHeight="1">
      <c r="O824" s="1"/>
      <c r="P824" s="1"/>
      <c r="Q824" s="1"/>
      <c r="R824" s="1"/>
      <c r="S824" s="1"/>
      <c r="T824" s="1"/>
      <c r="U824" s="1"/>
      <c r="V824" s="1"/>
      <c r="W824" s="1"/>
      <c r="X824" s="117"/>
    </row>
    <row r="825" spans="15:24" ht="10" customHeight="1">
      <c r="O825" s="1"/>
      <c r="P825" s="1"/>
      <c r="Q825" s="1"/>
      <c r="R825" s="1"/>
      <c r="S825" s="1"/>
      <c r="T825" s="1"/>
      <c r="U825" s="1"/>
      <c r="V825" s="1"/>
      <c r="W825" s="1"/>
      <c r="X825" s="117"/>
    </row>
    <row r="826" spans="15:24" ht="10" customHeight="1">
      <c r="O826" s="1"/>
      <c r="P826" s="1"/>
      <c r="Q826" s="1"/>
      <c r="R826" s="1"/>
      <c r="S826" s="1"/>
      <c r="T826" s="1"/>
      <c r="U826" s="1"/>
      <c r="V826" s="1"/>
      <c r="W826" s="1"/>
      <c r="X826" s="117"/>
    </row>
    <row r="827" spans="15:24" ht="10" customHeight="1">
      <c r="O827" s="1"/>
      <c r="P827" s="1"/>
      <c r="Q827" s="1"/>
      <c r="R827" s="1"/>
      <c r="S827" s="1"/>
      <c r="T827" s="1"/>
      <c r="U827" s="1"/>
      <c r="V827" s="1"/>
      <c r="W827" s="1"/>
      <c r="X827" s="117"/>
    </row>
    <row r="828" spans="15:24" ht="10" customHeight="1">
      <c r="O828" s="1"/>
      <c r="P828" s="1"/>
      <c r="Q828" s="1"/>
      <c r="R828" s="1"/>
      <c r="S828" s="1"/>
      <c r="T828" s="1"/>
      <c r="U828" s="1"/>
      <c r="V828" s="1"/>
      <c r="W828" s="1"/>
      <c r="X828" s="117"/>
    </row>
    <row r="829" spans="15:24" ht="10" customHeight="1">
      <c r="O829" s="1"/>
      <c r="P829" s="1"/>
      <c r="Q829" s="1"/>
      <c r="R829" s="1"/>
      <c r="S829" s="1"/>
      <c r="T829" s="1"/>
      <c r="U829" s="1"/>
      <c r="V829" s="1"/>
      <c r="W829" s="1"/>
      <c r="X829" s="117"/>
    </row>
    <row r="830" spans="15:24" ht="10" customHeight="1">
      <c r="O830" s="1"/>
      <c r="P830" s="1"/>
      <c r="Q830" s="1"/>
      <c r="R830" s="1"/>
      <c r="S830" s="1"/>
      <c r="T830" s="1"/>
      <c r="U830" s="1"/>
      <c r="V830" s="1"/>
      <c r="W830" s="1"/>
      <c r="X830" s="117"/>
    </row>
    <row r="831" spans="15:24" ht="10" customHeight="1">
      <c r="O831" s="1"/>
      <c r="P831" s="1"/>
      <c r="Q831" s="1"/>
      <c r="R831" s="1"/>
      <c r="S831" s="1"/>
      <c r="T831" s="1"/>
      <c r="U831" s="1"/>
      <c r="V831" s="1"/>
      <c r="W831" s="1"/>
      <c r="X831" s="117"/>
    </row>
    <row r="832" spans="15:24" ht="10" customHeight="1">
      <c r="O832" s="1"/>
      <c r="P832" s="1"/>
      <c r="Q832" s="1"/>
      <c r="R832" s="1"/>
      <c r="S832" s="1"/>
      <c r="T832" s="1"/>
      <c r="U832" s="1"/>
      <c r="V832" s="1"/>
      <c r="W832" s="1"/>
      <c r="X832" s="117"/>
    </row>
    <row r="833" spans="15:24" ht="10" customHeight="1">
      <c r="O833" s="1"/>
      <c r="P833" s="1"/>
      <c r="Q833" s="1"/>
      <c r="R833" s="1"/>
      <c r="S833" s="1"/>
      <c r="T833" s="1"/>
      <c r="U833" s="1"/>
      <c r="V833" s="1"/>
      <c r="W833" s="1"/>
      <c r="X833" s="117"/>
    </row>
    <row r="834" spans="15:24" ht="10" customHeight="1">
      <c r="O834" s="1"/>
      <c r="P834" s="1"/>
      <c r="Q834" s="1"/>
      <c r="R834" s="1"/>
      <c r="S834" s="1"/>
      <c r="T834" s="1"/>
      <c r="U834" s="1"/>
      <c r="V834" s="1"/>
      <c r="W834" s="1"/>
      <c r="X834" s="117"/>
    </row>
    <row r="835" spans="15:24" ht="10" customHeight="1">
      <c r="O835" s="1"/>
      <c r="P835" s="1"/>
      <c r="Q835" s="1"/>
      <c r="R835" s="1"/>
      <c r="S835" s="1"/>
      <c r="T835" s="1"/>
      <c r="U835" s="1"/>
      <c r="V835" s="1"/>
      <c r="W835" s="1"/>
      <c r="X835" s="117"/>
    </row>
    <row r="836" spans="15:24" ht="10" customHeight="1">
      <c r="O836" s="1"/>
      <c r="P836" s="1"/>
      <c r="Q836" s="1"/>
      <c r="R836" s="1"/>
      <c r="S836" s="1"/>
      <c r="T836" s="1"/>
      <c r="U836" s="1"/>
      <c r="V836" s="1"/>
      <c r="W836" s="1"/>
      <c r="X836" s="117"/>
    </row>
    <row r="837" spans="15:24" ht="10" customHeight="1">
      <c r="O837" s="1"/>
      <c r="P837" s="1"/>
      <c r="Q837" s="1"/>
      <c r="R837" s="1"/>
      <c r="S837" s="1"/>
      <c r="T837" s="1"/>
      <c r="U837" s="1"/>
      <c r="V837" s="1"/>
      <c r="W837" s="1"/>
      <c r="X837" s="117"/>
    </row>
    <row r="838" spans="15:24" ht="10" customHeight="1">
      <c r="O838" s="1"/>
      <c r="P838" s="1"/>
      <c r="Q838" s="1"/>
      <c r="R838" s="1"/>
      <c r="S838" s="1"/>
      <c r="T838" s="1"/>
      <c r="U838" s="1"/>
      <c r="V838" s="1"/>
      <c r="W838" s="1"/>
      <c r="X838" s="117"/>
    </row>
    <row r="839" spans="15:24" ht="10" customHeight="1">
      <c r="O839" s="1"/>
      <c r="P839" s="1"/>
      <c r="Q839" s="1"/>
      <c r="R839" s="1"/>
      <c r="S839" s="1"/>
      <c r="T839" s="1"/>
      <c r="U839" s="1"/>
      <c r="V839" s="1"/>
      <c r="W839" s="1"/>
      <c r="X839" s="117"/>
    </row>
    <row r="840" spans="15:24" ht="10" customHeight="1">
      <c r="O840" s="1"/>
      <c r="P840" s="1"/>
      <c r="Q840" s="1"/>
      <c r="R840" s="1"/>
      <c r="S840" s="1"/>
      <c r="T840" s="1"/>
      <c r="U840" s="1"/>
      <c r="V840" s="1"/>
      <c r="W840" s="1"/>
      <c r="X840" s="117"/>
    </row>
    <row r="841" spans="15:24" ht="10" customHeight="1">
      <c r="O841" s="1"/>
      <c r="P841" s="1"/>
      <c r="Q841" s="1"/>
      <c r="R841" s="1"/>
      <c r="S841" s="1"/>
      <c r="T841" s="1"/>
      <c r="U841" s="1"/>
      <c r="V841" s="1"/>
      <c r="W841" s="1"/>
      <c r="X841" s="117"/>
    </row>
    <row r="842" spans="15:24" ht="10" customHeight="1">
      <c r="O842" s="1"/>
      <c r="P842" s="1"/>
      <c r="Q842" s="1"/>
      <c r="R842" s="1"/>
      <c r="S842" s="1"/>
      <c r="T842" s="1"/>
      <c r="U842" s="1"/>
      <c r="V842" s="1"/>
      <c r="W842" s="1"/>
      <c r="X842" s="117"/>
    </row>
    <row r="843" spans="15:24" ht="10" customHeight="1">
      <c r="O843" s="1"/>
      <c r="P843" s="1"/>
      <c r="Q843" s="1"/>
      <c r="R843" s="1"/>
      <c r="S843" s="1"/>
      <c r="T843" s="1"/>
      <c r="U843" s="1"/>
      <c r="V843" s="1"/>
      <c r="W843" s="1"/>
      <c r="X843" s="117"/>
    </row>
    <row r="844" spans="15:24" ht="10" customHeight="1">
      <c r="O844" s="1"/>
      <c r="P844" s="1"/>
      <c r="Q844" s="1"/>
      <c r="R844" s="1"/>
      <c r="S844" s="1"/>
      <c r="T844" s="1"/>
      <c r="U844" s="1"/>
      <c r="V844" s="1"/>
      <c r="W844" s="1"/>
      <c r="X844" s="117"/>
    </row>
    <row r="845" spans="15:24" ht="10" customHeight="1">
      <c r="O845" s="1"/>
      <c r="P845" s="1"/>
      <c r="Q845" s="1"/>
      <c r="R845" s="1"/>
      <c r="S845" s="1"/>
      <c r="T845" s="1"/>
      <c r="U845" s="1"/>
      <c r="V845" s="1"/>
      <c r="W845" s="1"/>
      <c r="X845" s="117"/>
    </row>
    <row r="846" spans="15:24" ht="10" customHeight="1">
      <c r="O846" s="1"/>
      <c r="P846" s="1"/>
      <c r="Q846" s="1"/>
      <c r="R846" s="1"/>
      <c r="S846" s="1"/>
      <c r="T846" s="1"/>
      <c r="U846" s="1"/>
      <c r="V846" s="1"/>
      <c r="W846" s="1"/>
      <c r="X846" s="117"/>
    </row>
    <row r="847" spans="15:24" ht="10" customHeight="1">
      <c r="O847" s="1"/>
      <c r="P847" s="1"/>
      <c r="Q847" s="1"/>
      <c r="R847" s="1"/>
      <c r="S847" s="1"/>
      <c r="T847" s="1"/>
      <c r="U847" s="1"/>
      <c r="V847" s="1"/>
      <c r="W847" s="1"/>
      <c r="X847" s="117"/>
    </row>
    <row r="848" spans="15:24" ht="10" customHeight="1">
      <c r="O848" s="1"/>
      <c r="P848" s="1"/>
      <c r="Q848" s="1"/>
      <c r="R848" s="1"/>
      <c r="S848" s="1"/>
      <c r="T848" s="1"/>
      <c r="U848" s="1"/>
      <c r="V848" s="1"/>
      <c r="W848" s="1"/>
      <c r="X848" s="117"/>
    </row>
    <row r="849" spans="15:24" ht="10" customHeight="1">
      <c r="O849" s="1"/>
      <c r="P849" s="1"/>
      <c r="Q849" s="1"/>
      <c r="R849" s="1"/>
      <c r="S849" s="1"/>
      <c r="T849" s="1"/>
      <c r="U849" s="1"/>
      <c r="V849" s="1"/>
      <c r="W849" s="1"/>
      <c r="X849" s="117"/>
    </row>
    <row r="850" spans="15:24" ht="10" customHeight="1">
      <c r="O850" s="1"/>
      <c r="P850" s="1"/>
      <c r="Q850" s="1"/>
      <c r="R850" s="1"/>
      <c r="S850" s="1"/>
      <c r="T850" s="1"/>
      <c r="U850" s="1"/>
      <c r="V850" s="1"/>
      <c r="W850" s="1"/>
      <c r="X850" s="117"/>
    </row>
    <row r="851" spans="15:24" ht="10" customHeight="1">
      <c r="O851" s="1"/>
      <c r="P851" s="1"/>
      <c r="Q851" s="1"/>
      <c r="R851" s="1"/>
      <c r="S851" s="1"/>
      <c r="T851" s="1"/>
      <c r="U851" s="1"/>
      <c r="V851" s="1"/>
      <c r="W851" s="1"/>
      <c r="X851" s="117"/>
    </row>
    <row r="852" spans="15:24" ht="10" customHeight="1">
      <c r="O852" s="1"/>
      <c r="P852" s="1"/>
      <c r="Q852" s="1"/>
      <c r="R852" s="1"/>
      <c r="S852" s="1"/>
      <c r="T852" s="1"/>
      <c r="U852" s="1"/>
      <c r="V852" s="1"/>
      <c r="W852" s="1"/>
      <c r="X852" s="117"/>
    </row>
    <row r="853" spans="15:24" ht="10" customHeight="1">
      <c r="O853" s="1"/>
      <c r="P853" s="1"/>
      <c r="Q853" s="1"/>
      <c r="R853" s="1"/>
      <c r="S853" s="1"/>
      <c r="T853" s="1"/>
      <c r="U853" s="1"/>
      <c r="V853" s="1"/>
      <c r="W853" s="1"/>
      <c r="X853" s="117"/>
    </row>
    <row r="854" spans="15:24" ht="10" customHeight="1">
      <c r="O854" s="1"/>
      <c r="P854" s="1"/>
      <c r="Q854" s="1"/>
      <c r="R854" s="1"/>
      <c r="S854" s="1"/>
      <c r="T854" s="1"/>
      <c r="U854" s="1"/>
      <c r="V854" s="1"/>
      <c r="W854" s="1"/>
      <c r="X854" s="117"/>
    </row>
    <row r="855" spans="15:24" ht="10" customHeight="1">
      <c r="O855" s="1"/>
      <c r="P855" s="1"/>
      <c r="Q855" s="1"/>
      <c r="R855" s="1"/>
      <c r="S855" s="1"/>
      <c r="T855" s="1"/>
      <c r="U855" s="1"/>
      <c r="V855" s="1"/>
      <c r="W855" s="1"/>
      <c r="X855" s="117"/>
    </row>
    <row r="856" spans="15:24" ht="10" customHeight="1">
      <c r="O856" s="1"/>
      <c r="P856" s="1"/>
      <c r="Q856" s="1"/>
      <c r="R856" s="1"/>
      <c r="S856" s="1"/>
      <c r="T856" s="1"/>
      <c r="U856" s="1"/>
      <c r="V856" s="1"/>
      <c r="W856" s="1"/>
      <c r="X856" s="117"/>
    </row>
    <row r="857" spans="15:24" ht="10" customHeight="1">
      <c r="O857" s="1"/>
      <c r="P857" s="1"/>
      <c r="Q857" s="1"/>
      <c r="R857" s="1"/>
      <c r="S857" s="1"/>
      <c r="T857" s="1"/>
      <c r="U857" s="1"/>
      <c r="V857" s="1"/>
      <c r="W857" s="1"/>
      <c r="X857" s="117"/>
    </row>
    <row r="858" spans="15:24" ht="10" customHeight="1">
      <c r="O858" s="1"/>
      <c r="P858" s="1"/>
      <c r="Q858" s="1"/>
      <c r="R858" s="1"/>
      <c r="S858" s="1"/>
      <c r="T858" s="1"/>
      <c r="U858" s="1"/>
      <c r="V858" s="1"/>
      <c r="W858" s="1"/>
      <c r="X858" s="117"/>
    </row>
    <row r="859" spans="15:24" ht="10" customHeight="1">
      <c r="O859" s="1"/>
      <c r="P859" s="1"/>
      <c r="Q859" s="1"/>
      <c r="R859" s="1"/>
      <c r="S859" s="1"/>
      <c r="T859" s="1"/>
      <c r="U859" s="1"/>
      <c r="V859" s="1"/>
      <c r="W859" s="1"/>
      <c r="X859" s="117"/>
    </row>
    <row r="860" spans="15:24" ht="10" customHeight="1">
      <c r="O860" s="1"/>
      <c r="P860" s="1"/>
      <c r="Q860" s="1"/>
      <c r="R860" s="1"/>
      <c r="S860" s="1"/>
      <c r="T860" s="1"/>
      <c r="U860" s="1"/>
      <c r="V860" s="1"/>
      <c r="W860" s="1"/>
      <c r="X860" s="117"/>
    </row>
    <row r="861" spans="15:24" ht="10" customHeight="1">
      <c r="O861" s="1"/>
      <c r="P861" s="1"/>
      <c r="Q861" s="1"/>
      <c r="R861" s="1"/>
      <c r="S861" s="1"/>
      <c r="T861" s="1"/>
      <c r="U861" s="1"/>
      <c r="V861" s="1"/>
      <c r="W861" s="1"/>
      <c r="X861" s="117"/>
    </row>
    <row r="862" spans="15:24" ht="10" customHeight="1">
      <c r="O862" s="1"/>
      <c r="P862" s="1"/>
      <c r="Q862" s="1"/>
      <c r="R862" s="1"/>
      <c r="S862" s="1"/>
      <c r="T862" s="1"/>
      <c r="U862" s="1"/>
      <c r="V862" s="1"/>
      <c r="W862" s="1"/>
      <c r="X862" s="117"/>
    </row>
    <row r="863" spans="15:24" ht="10" customHeight="1">
      <c r="O863" s="1"/>
      <c r="P863" s="1"/>
      <c r="Q863" s="1"/>
      <c r="R863" s="1"/>
      <c r="S863" s="1"/>
      <c r="T863" s="1"/>
      <c r="U863" s="1"/>
      <c r="V863" s="1"/>
      <c r="W863" s="1"/>
      <c r="X863" s="117"/>
    </row>
    <row r="864" spans="15:24" ht="10" customHeight="1">
      <c r="O864" s="1"/>
      <c r="P864" s="1"/>
      <c r="Q864" s="1"/>
      <c r="R864" s="1"/>
      <c r="S864" s="1"/>
      <c r="T864" s="1"/>
      <c r="U864" s="1"/>
      <c r="V864" s="1"/>
      <c r="W864" s="1"/>
      <c r="X864" s="117"/>
    </row>
    <row r="865" spans="15:24" ht="10" customHeight="1">
      <c r="O865" s="1"/>
      <c r="P865" s="1"/>
      <c r="Q865" s="1"/>
      <c r="R865" s="1"/>
      <c r="S865" s="1"/>
      <c r="T865" s="1"/>
      <c r="U865" s="1"/>
      <c r="V865" s="1"/>
      <c r="W865" s="1"/>
      <c r="X865" s="117"/>
    </row>
    <row r="866" spans="15:24" ht="10" customHeight="1">
      <c r="O866" s="1"/>
      <c r="P866" s="1"/>
      <c r="Q866" s="1"/>
      <c r="R866" s="1"/>
      <c r="S866" s="1"/>
      <c r="T866" s="1"/>
      <c r="U866" s="1"/>
      <c r="V866" s="1"/>
      <c r="W866" s="1"/>
      <c r="X866" s="117"/>
    </row>
    <row r="867" spans="15:24" ht="10" customHeight="1">
      <c r="O867" s="1"/>
      <c r="P867" s="1"/>
      <c r="Q867" s="1"/>
      <c r="R867" s="1"/>
      <c r="S867" s="1"/>
      <c r="T867" s="1"/>
      <c r="U867" s="1"/>
      <c r="V867" s="1"/>
      <c r="W867" s="1"/>
      <c r="X867" s="117"/>
    </row>
    <row r="868" spans="15:24" ht="10" customHeight="1">
      <c r="O868" s="1"/>
      <c r="P868" s="1"/>
      <c r="Q868" s="1"/>
      <c r="R868" s="1"/>
      <c r="S868" s="1"/>
      <c r="T868" s="1"/>
      <c r="U868" s="1"/>
      <c r="V868" s="1"/>
      <c r="W868" s="1"/>
      <c r="X868" s="117"/>
    </row>
    <row r="869" spans="15:24" ht="10" customHeight="1">
      <c r="O869" s="1"/>
      <c r="P869" s="1"/>
      <c r="Q869" s="1"/>
      <c r="R869" s="1"/>
      <c r="S869" s="1"/>
      <c r="T869" s="1"/>
      <c r="U869" s="1"/>
      <c r="V869" s="1"/>
      <c r="W869" s="1"/>
      <c r="X869" s="117"/>
    </row>
    <row r="870" spans="15:24" ht="10" customHeight="1">
      <c r="O870" s="1"/>
      <c r="P870" s="1"/>
      <c r="Q870" s="1"/>
      <c r="R870" s="1"/>
      <c r="S870" s="1"/>
      <c r="T870" s="1"/>
      <c r="U870" s="1"/>
      <c r="V870" s="1"/>
      <c r="W870" s="1"/>
      <c r="X870" s="117"/>
    </row>
    <row r="871" spans="15:24" ht="10" customHeight="1">
      <c r="O871" s="1"/>
      <c r="P871" s="1"/>
      <c r="Q871" s="1"/>
      <c r="R871" s="1"/>
      <c r="S871" s="1"/>
      <c r="T871" s="1"/>
      <c r="U871" s="1"/>
      <c r="V871" s="1"/>
      <c r="W871" s="1"/>
      <c r="X871" s="117"/>
    </row>
    <row r="872" spans="15:24" ht="10" customHeight="1">
      <c r="O872" s="1"/>
      <c r="P872" s="1"/>
      <c r="Q872" s="1"/>
      <c r="R872" s="1"/>
      <c r="S872" s="1"/>
      <c r="T872" s="1"/>
      <c r="U872" s="1"/>
      <c r="V872" s="1"/>
      <c r="W872" s="1"/>
      <c r="X872" s="117"/>
    </row>
    <row r="873" spans="15:24" ht="10" customHeight="1">
      <c r="O873" s="1"/>
      <c r="P873" s="1"/>
      <c r="Q873" s="1"/>
      <c r="R873" s="1"/>
      <c r="S873" s="1"/>
      <c r="T873" s="1"/>
      <c r="U873" s="1"/>
      <c r="V873" s="1"/>
      <c r="W873" s="1"/>
      <c r="X873" s="117"/>
    </row>
    <row r="874" spans="15:24" ht="10" customHeight="1">
      <c r="O874" s="1"/>
      <c r="P874" s="1"/>
      <c r="Q874" s="1"/>
      <c r="R874" s="1"/>
      <c r="S874" s="1"/>
      <c r="T874" s="1"/>
      <c r="U874" s="1"/>
      <c r="V874" s="1"/>
      <c r="W874" s="1"/>
      <c r="X874" s="117"/>
    </row>
    <row r="875" spans="15:24" ht="10" customHeight="1">
      <c r="O875" s="1"/>
      <c r="P875" s="1"/>
      <c r="Q875" s="1"/>
      <c r="R875" s="1"/>
      <c r="S875" s="1"/>
      <c r="T875" s="1"/>
      <c r="U875" s="1"/>
      <c r="V875" s="1"/>
      <c r="W875" s="1"/>
      <c r="X875" s="117"/>
    </row>
    <row r="876" spans="15:24" ht="10" customHeight="1">
      <c r="O876" s="1"/>
      <c r="P876" s="1"/>
      <c r="Q876" s="1"/>
      <c r="R876" s="1"/>
      <c r="S876" s="1"/>
      <c r="T876" s="1"/>
      <c r="U876" s="1"/>
      <c r="V876" s="1"/>
      <c r="W876" s="1"/>
      <c r="X876" s="117"/>
    </row>
    <row r="877" spans="15:24" ht="10" customHeight="1">
      <c r="O877" s="1"/>
      <c r="P877" s="1"/>
      <c r="Q877" s="1"/>
      <c r="R877" s="1"/>
      <c r="S877" s="1"/>
      <c r="T877" s="1"/>
      <c r="U877" s="1"/>
      <c r="V877" s="1"/>
      <c r="W877" s="1"/>
      <c r="X877" s="117"/>
    </row>
    <row r="878" spans="15:24" ht="10" customHeight="1">
      <c r="O878" s="1"/>
      <c r="P878" s="1"/>
      <c r="Q878" s="1"/>
      <c r="R878" s="1"/>
      <c r="S878" s="1"/>
      <c r="T878" s="1"/>
      <c r="U878" s="1"/>
      <c r="V878" s="1"/>
      <c r="W878" s="1"/>
      <c r="X878" s="117"/>
    </row>
    <row r="879" spans="15:24" ht="10" customHeight="1">
      <c r="O879" s="1"/>
      <c r="P879" s="1"/>
      <c r="Q879" s="1"/>
      <c r="R879" s="1"/>
      <c r="S879" s="1"/>
      <c r="T879" s="1"/>
      <c r="U879" s="1"/>
      <c r="V879" s="1"/>
      <c r="W879" s="1"/>
      <c r="X879" s="117"/>
    </row>
    <row r="880" spans="15:24" ht="10" customHeight="1">
      <c r="O880" s="1"/>
      <c r="P880" s="1"/>
      <c r="Q880" s="1"/>
      <c r="R880" s="1"/>
      <c r="S880" s="1"/>
      <c r="T880" s="1"/>
      <c r="U880" s="1"/>
      <c r="V880" s="1"/>
      <c r="W880" s="1"/>
      <c r="X880" s="117"/>
    </row>
    <row r="881" spans="15:24" ht="10" customHeight="1">
      <c r="O881" s="1"/>
      <c r="P881" s="1"/>
      <c r="Q881" s="1"/>
      <c r="R881" s="1"/>
      <c r="S881" s="1"/>
      <c r="T881" s="1"/>
      <c r="U881" s="1"/>
      <c r="V881" s="1"/>
      <c r="W881" s="1"/>
      <c r="X881" s="117"/>
    </row>
    <row r="882" spans="15:24" ht="10" customHeight="1">
      <c r="O882" s="1"/>
      <c r="P882" s="1"/>
      <c r="Q882" s="1"/>
      <c r="R882" s="1"/>
      <c r="S882" s="1"/>
      <c r="T882" s="1"/>
      <c r="U882" s="1"/>
      <c r="V882" s="1"/>
      <c r="W882" s="1"/>
      <c r="X882" s="117"/>
    </row>
    <row r="883" spans="15:24" ht="10" customHeight="1">
      <c r="O883" s="1"/>
      <c r="P883" s="1"/>
      <c r="Q883" s="1"/>
      <c r="R883" s="1"/>
      <c r="S883" s="1"/>
      <c r="T883" s="1"/>
      <c r="U883" s="1"/>
      <c r="V883" s="1"/>
      <c r="W883" s="1"/>
      <c r="X883" s="117"/>
    </row>
    <row r="884" spans="15:24" ht="10" customHeight="1">
      <c r="O884" s="1"/>
      <c r="P884" s="1"/>
      <c r="Q884" s="1"/>
      <c r="R884" s="1"/>
      <c r="S884" s="1"/>
      <c r="T884" s="1"/>
      <c r="U884" s="1"/>
      <c r="V884" s="1"/>
      <c r="W884" s="1"/>
      <c r="X884" s="117"/>
    </row>
    <row r="885" spans="15:24" ht="10" customHeight="1">
      <c r="O885" s="1"/>
      <c r="P885" s="1"/>
      <c r="Q885" s="1"/>
      <c r="R885" s="1"/>
      <c r="S885" s="1"/>
      <c r="T885" s="1"/>
      <c r="U885" s="1"/>
      <c r="V885" s="1"/>
      <c r="W885" s="1"/>
      <c r="X885" s="117"/>
    </row>
    <row r="886" spans="15:24" ht="10" customHeight="1">
      <c r="O886" s="1"/>
      <c r="P886" s="1"/>
      <c r="Q886" s="1"/>
      <c r="R886" s="1"/>
      <c r="S886" s="1"/>
      <c r="T886" s="1"/>
      <c r="U886" s="1"/>
      <c r="V886" s="1"/>
      <c r="W886" s="1"/>
      <c r="X886" s="117"/>
    </row>
    <row r="887" spans="15:24" ht="10" customHeight="1">
      <c r="O887" s="1"/>
      <c r="P887" s="1"/>
      <c r="Q887" s="1"/>
      <c r="R887" s="1"/>
      <c r="S887" s="1"/>
      <c r="T887" s="1"/>
      <c r="U887" s="1"/>
      <c r="V887" s="1"/>
      <c r="W887" s="1"/>
      <c r="X887" s="117"/>
    </row>
    <row r="888" spans="15:24" ht="10" customHeight="1">
      <c r="O888" s="1"/>
      <c r="P888" s="1"/>
      <c r="Q888" s="1"/>
      <c r="R888" s="1"/>
      <c r="S888" s="1"/>
      <c r="T888" s="1"/>
      <c r="U888" s="1"/>
      <c r="V888" s="1"/>
      <c r="W888" s="1"/>
      <c r="X888" s="117"/>
    </row>
    <row r="889" spans="15:24" ht="10" customHeight="1">
      <c r="O889" s="1"/>
      <c r="P889" s="1"/>
      <c r="Q889" s="1"/>
      <c r="R889" s="1"/>
      <c r="S889" s="1"/>
      <c r="T889" s="1"/>
      <c r="U889" s="1"/>
      <c r="V889" s="1"/>
      <c r="W889" s="1"/>
      <c r="X889" s="117"/>
    </row>
    <row r="890" spans="15:24" ht="10" customHeight="1">
      <c r="O890" s="1"/>
      <c r="P890" s="1"/>
      <c r="Q890" s="1"/>
      <c r="R890" s="1"/>
      <c r="S890" s="1"/>
      <c r="T890" s="1"/>
      <c r="U890" s="1"/>
      <c r="V890" s="1"/>
      <c r="W890" s="1"/>
      <c r="X890" s="117"/>
    </row>
    <row r="891" spans="15:24" ht="10" customHeight="1">
      <c r="O891" s="1"/>
      <c r="P891" s="1"/>
      <c r="Q891" s="1"/>
      <c r="R891" s="1"/>
      <c r="S891" s="1"/>
      <c r="T891" s="1"/>
      <c r="U891" s="1"/>
      <c r="V891" s="1"/>
      <c r="W891" s="1"/>
      <c r="X891" s="117"/>
    </row>
    <row r="892" spans="15:24" ht="10" customHeight="1">
      <c r="O892" s="1"/>
      <c r="P892" s="1"/>
      <c r="Q892" s="1"/>
      <c r="R892" s="1"/>
      <c r="S892" s="1"/>
      <c r="T892" s="1"/>
      <c r="U892" s="1"/>
      <c r="V892" s="1"/>
      <c r="W892" s="1"/>
      <c r="X892" s="117"/>
    </row>
    <row r="893" spans="15:24" ht="10" customHeight="1">
      <c r="O893" s="1"/>
      <c r="P893" s="1"/>
      <c r="Q893" s="1"/>
      <c r="R893" s="1"/>
      <c r="S893" s="1"/>
      <c r="T893" s="1"/>
      <c r="U893" s="1"/>
      <c r="V893" s="1"/>
      <c r="W893" s="1"/>
      <c r="X893" s="117"/>
    </row>
    <row r="894" spans="15:24" ht="10" customHeight="1">
      <c r="O894" s="1"/>
      <c r="P894" s="1"/>
      <c r="Q894" s="1"/>
      <c r="R894" s="1"/>
      <c r="S894" s="1"/>
      <c r="T894" s="1"/>
      <c r="U894" s="1"/>
      <c r="V894" s="1"/>
      <c r="W894" s="1"/>
      <c r="X894" s="117"/>
    </row>
    <row r="895" spans="15:24" ht="10" customHeight="1">
      <c r="O895" s="1"/>
      <c r="P895" s="1"/>
      <c r="Q895" s="1"/>
      <c r="R895" s="1"/>
      <c r="S895" s="1"/>
      <c r="T895" s="1"/>
      <c r="U895" s="1"/>
      <c r="V895" s="1"/>
      <c r="W895" s="1"/>
      <c r="X895" s="117"/>
    </row>
    <row r="896" spans="15:24" ht="10" customHeight="1">
      <c r="O896" s="1"/>
      <c r="P896" s="1"/>
      <c r="Q896" s="1"/>
      <c r="R896" s="1"/>
      <c r="S896" s="1"/>
      <c r="T896" s="1"/>
      <c r="U896" s="1"/>
      <c r="V896" s="1"/>
      <c r="W896" s="1"/>
      <c r="X896" s="117"/>
    </row>
    <row r="897" spans="15:24" ht="10" customHeight="1">
      <c r="O897" s="1"/>
      <c r="P897" s="1"/>
      <c r="Q897" s="1"/>
      <c r="R897" s="1"/>
      <c r="S897" s="1"/>
      <c r="T897" s="1"/>
      <c r="U897" s="1"/>
      <c r="V897" s="1"/>
      <c r="W897" s="1"/>
      <c r="X897" s="117"/>
    </row>
    <row r="898" spans="15:24" ht="10" customHeight="1">
      <c r="O898" s="1"/>
      <c r="P898" s="1"/>
      <c r="Q898" s="1"/>
      <c r="R898" s="1"/>
      <c r="S898" s="1"/>
      <c r="T898" s="1"/>
      <c r="U898" s="1"/>
      <c r="V898" s="1"/>
      <c r="W898" s="1"/>
      <c r="X898" s="117"/>
    </row>
    <row r="899" spans="15:24" ht="10" customHeight="1">
      <c r="O899" s="1"/>
      <c r="P899" s="1"/>
      <c r="Q899" s="1"/>
      <c r="R899" s="1"/>
      <c r="S899" s="1"/>
      <c r="T899" s="1"/>
      <c r="U899" s="1"/>
      <c r="V899" s="1"/>
      <c r="W899" s="1"/>
      <c r="X899" s="117"/>
    </row>
    <row r="900" spans="15:24" ht="10" customHeight="1">
      <c r="O900" s="1"/>
      <c r="P900" s="1"/>
      <c r="Q900" s="1"/>
      <c r="R900" s="1"/>
      <c r="S900" s="1"/>
      <c r="T900" s="1"/>
      <c r="U900" s="1"/>
      <c r="V900" s="1"/>
      <c r="W900" s="1"/>
      <c r="X900" s="117"/>
    </row>
    <row r="901" spans="15:24" ht="10" customHeight="1">
      <c r="O901" s="1"/>
      <c r="P901" s="1"/>
      <c r="Q901" s="1"/>
      <c r="R901" s="1"/>
      <c r="S901" s="1"/>
      <c r="T901" s="1"/>
      <c r="U901" s="1"/>
      <c r="V901" s="1"/>
      <c r="W901" s="1"/>
      <c r="X901" s="117"/>
    </row>
    <row r="902" spans="15:24" ht="10" customHeight="1">
      <c r="O902" s="1"/>
      <c r="P902" s="1"/>
      <c r="Q902" s="1"/>
      <c r="R902" s="1"/>
      <c r="S902" s="1"/>
      <c r="T902" s="1"/>
      <c r="U902" s="1"/>
      <c r="V902" s="1"/>
      <c r="W902" s="1"/>
      <c r="X902" s="117"/>
    </row>
    <row r="903" spans="15:24" ht="10" customHeight="1">
      <c r="O903" s="1"/>
      <c r="P903" s="1"/>
      <c r="Q903" s="1"/>
      <c r="R903" s="1"/>
      <c r="S903" s="1"/>
      <c r="T903" s="1"/>
      <c r="U903" s="1"/>
      <c r="V903" s="1"/>
      <c r="W903" s="1"/>
      <c r="X903" s="117"/>
    </row>
    <row r="904" spans="15:24" ht="10" customHeight="1">
      <c r="O904" s="1"/>
      <c r="P904" s="1"/>
      <c r="Q904" s="1"/>
      <c r="R904" s="1"/>
      <c r="S904" s="1"/>
      <c r="T904" s="1"/>
      <c r="U904" s="1"/>
      <c r="V904" s="1"/>
      <c r="W904" s="1"/>
      <c r="X904" s="117"/>
    </row>
    <row r="905" spans="15:24" ht="10" customHeight="1">
      <c r="O905" s="1"/>
      <c r="P905" s="1"/>
      <c r="Q905" s="1"/>
      <c r="R905" s="1"/>
      <c r="S905" s="1"/>
      <c r="T905" s="1"/>
      <c r="U905" s="1"/>
      <c r="V905" s="1"/>
      <c r="W905" s="1"/>
      <c r="X905" s="117"/>
    </row>
    <row r="906" spans="15:24" ht="10" customHeight="1">
      <c r="O906" s="1"/>
      <c r="P906" s="1"/>
      <c r="Q906" s="1"/>
      <c r="R906" s="1"/>
      <c r="S906" s="1"/>
      <c r="T906" s="1"/>
      <c r="U906" s="1"/>
      <c r="V906" s="1"/>
      <c r="W906" s="1"/>
      <c r="X906" s="117"/>
    </row>
    <row r="907" spans="15:24" ht="10" customHeight="1">
      <c r="O907" s="1"/>
      <c r="P907" s="1"/>
      <c r="Q907" s="1"/>
      <c r="R907" s="1"/>
      <c r="S907" s="1"/>
      <c r="T907" s="1"/>
      <c r="U907" s="1"/>
      <c r="V907" s="1"/>
      <c r="W907" s="1"/>
      <c r="X907" s="117"/>
    </row>
    <row r="908" spans="15:24" ht="10" customHeight="1">
      <c r="O908" s="1"/>
      <c r="P908" s="1"/>
      <c r="Q908" s="1"/>
      <c r="R908" s="1"/>
      <c r="S908" s="1"/>
      <c r="T908" s="1"/>
      <c r="U908" s="1"/>
      <c r="V908" s="1"/>
      <c r="W908" s="1"/>
      <c r="X908" s="117"/>
    </row>
    <row r="909" spans="15:24" ht="10" customHeight="1">
      <c r="O909" s="1"/>
      <c r="P909" s="1"/>
      <c r="Q909" s="1"/>
      <c r="R909" s="1"/>
      <c r="S909" s="1"/>
      <c r="T909" s="1"/>
      <c r="U909" s="1"/>
      <c r="V909" s="1"/>
      <c r="W909" s="1"/>
      <c r="X909" s="117"/>
    </row>
    <row r="910" spans="15:24" ht="10" customHeight="1">
      <c r="O910" s="1"/>
      <c r="P910" s="1"/>
      <c r="Q910" s="1"/>
      <c r="R910" s="1"/>
      <c r="S910" s="1"/>
      <c r="T910" s="1"/>
      <c r="U910" s="1"/>
      <c r="V910" s="1"/>
      <c r="W910" s="1"/>
      <c r="X910" s="117"/>
    </row>
    <row r="911" spans="15:24" ht="10" customHeight="1">
      <c r="O911" s="1"/>
      <c r="P911" s="1"/>
      <c r="Q911" s="1"/>
      <c r="R911" s="1"/>
      <c r="S911" s="1"/>
      <c r="T911" s="1"/>
      <c r="U911" s="1"/>
      <c r="V911" s="1"/>
      <c r="W911" s="1"/>
      <c r="X911" s="117"/>
    </row>
    <row r="912" spans="15:24" ht="10" customHeight="1">
      <c r="O912" s="1"/>
      <c r="P912" s="1"/>
      <c r="Q912" s="1"/>
      <c r="R912" s="1"/>
      <c r="S912" s="1"/>
      <c r="T912" s="1"/>
      <c r="U912" s="1"/>
      <c r="V912" s="1"/>
      <c r="W912" s="1"/>
      <c r="X912" s="117"/>
    </row>
    <row r="913" spans="15:24" ht="10" customHeight="1">
      <c r="O913" s="1"/>
      <c r="P913" s="1"/>
      <c r="Q913" s="1"/>
      <c r="R913" s="1"/>
      <c r="S913" s="1"/>
      <c r="T913" s="1"/>
      <c r="U913" s="1"/>
      <c r="V913" s="1"/>
      <c r="W913" s="1"/>
      <c r="X913" s="117"/>
    </row>
    <row r="914" spans="15:24" ht="10" customHeight="1">
      <c r="O914" s="1"/>
      <c r="P914" s="1"/>
      <c r="Q914" s="1"/>
      <c r="R914" s="1"/>
      <c r="S914" s="1"/>
      <c r="T914" s="1"/>
      <c r="U914" s="1"/>
      <c r="V914" s="1"/>
      <c r="W914" s="1"/>
      <c r="X914" s="117"/>
    </row>
    <row r="915" spans="15:24" ht="10" customHeight="1">
      <c r="O915" s="1"/>
      <c r="P915" s="1"/>
      <c r="Q915" s="1"/>
      <c r="R915" s="1"/>
      <c r="S915" s="1"/>
      <c r="T915" s="1"/>
      <c r="U915" s="1"/>
      <c r="V915" s="1"/>
      <c r="W915" s="1"/>
      <c r="X915" s="117"/>
    </row>
    <row r="916" spans="15:24" ht="10" customHeight="1">
      <c r="O916" s="1"/>
      <c r="P916" s="1"/>
      <c r="Q916" s="1"/>
      <c r="R916" s="1"/>
      <c r="S916" s="1"/>
      <c r="T916" s="1"/>
      <c r="U916" s="1"/>
      <c r="V916" s="1"/>
      <c r="W916" s="1"/>
      <c r="X916" s="117"/>
    </row>
    <row r="917" spans="15:24" ht="10" customHeight="1">
      <c r="O917" s="1"/>
      <c r="P917" s="1"/>
      <c r="Q917" s="1"/>
      <c r="R917" s="1"/>
      <c r="S917" s="1"/>
      <c r="T917" s="1"/>
      <c r="U917" s="1"/>
      <c r="V917" s="1"/>
      <c r="W917" s="1"/>
      <c r="X917" s="117"/>
    </row>
    <row r="918" spans="15:24" ht="10" customHeight="1">
      <c r="O918" s="1"/>
      <c r="P918" s="1"/>
      <c r="Q918" s="1"/>
      <c r="R918" s="1"/>
      <c r="S918" s="1"/>
      <c r="T918" s="1"/>
      <c r="U918" s="1"/>
      <c r="V918" s="1"/>
      <c r="W918" s="1"/>
      <c r="X918" s="117"/>
    </row>
    <row r="919" spans="15:24" ht="10" customHeight="1">
      <c r="O919" s="1"/>
      <c r="P919" s="1"/>
      <c r="Q919" s="1"/>
      <c r="R919" s="1"/>
      <c r="S919" s="1"/>
      <c r="T919" s="1"/>
      <c r="U919" s="1"/>
      <c r="V919" s="1"/>
      <c r="W919" s="1"/>
      <c r="X919" s="117"/>
    </row>
    <row r="920" spans="15:24" ht="10" customHeight="1">
      <c r="O920" s="1"/>
      <c r="P920" s="1"/>
      <c r="Q920" s="1"/>
      <c r="R920" s="1"/>
      <c r="S920" s="1"/>
      <c r="T920" s="1"/>
      <c r="U920" s="1"/>
      <c r="V920" s="1"/>
      <c r="W920" s="1"/>
      <c r="X920" s="117"/>
    </row>
    <row r="921" spans="15:24" ht="10" customHeight="1">
      <c r="O921" s="1"/>
      <c r="P921" s="1"/>
      <c r="Q921" s="1"/>
      <c r="R921" s="1"/>
      <c r="S921" s="1"/>
      <c r="T921" s="1"/>
      <c r="U921" s="1"/>
      <c r="V921" s="1"/>
      <c r="W921" s="1"/>
      <c r="X921" s="117"/>
    </row>
    <row r="922" spans="15:24" ht="10" customHeight="1">
      <c r="O922" s="1"/>
      <c r="P922" s="1"/>
      <c r="Q922" s="1"/>
      <c r="R922" s="1"/>
      <c r="S922" s="1"/>
      <c r="T922" s="1"/>
      <c r="U922" s="1"/>
      <c r="V922" s="1"/>
      <c r="W922" s="1"/>
      <c r="X922" s="117"/>
    </row>
    <row r="923" spans="15:24" ht="10" customHeight="1">
      <c r="O923" s="1"/>
      <c r="P923" s="1"/>
      <c r="Q923" s="1"/>
      <c r="R923" s="1"/>
      <c r="S923" s="1"/>
      <c r="T923" s="1"/>
      <c r="U923" s="1"/>
      <c r="V923" s="1"/>
      <c r="W923" s="1"/>
      <c r="X923" s="117"/>
    </row>
    <row r="924" spans="15:24" ht="10" customHeight="1">
      <c r="O924" s="1"/>
      <c r="P924" s="1"/>
      <c r="Q924" s="1"/>
      <c r="R924" s="1"/>
      <c r="S924" s="1"/>
      <c r="T924" s="1"/>
      <c r="U924" s="1"/>
      <c r="V924" s="1"/>
      <c r="W924" s="1"/>
      <c r="X924" s="117"/>
    </row>
    <row r="925" spans="15:24" ht="10" customHeight="1">
      <c r="O925" s="1"/>
      <c r="P925" s="1"/>
      <c r="Q925" s="1"/>
      <c r="R925" s="1"/>
      <c r="S925" s="1"/>
      <c r="T925" s="1"/>
      <c r="U925" s="1"/>
      <c r="V925" s="1"/>
      <c r="W925" s="1"/>
      <c r="X925" s="117"/>
    </row>
    <row r="926" spans="15:24" ht="10" customHeight="1">
      <c r="O926" s="1"/>
      <c r="P926" s="1"/>
      <c r="Q926" s="1"/>
      <c r="R926" s="1"/>
      <c r="S926" s="1"/>
      <c r="T926" s="1"/>
      <c r="U926" s="1"/>
      <c r="V926" s="1"/>
      <c r="W926" s="1"/>
      <c r="X926" s="117"/>
    </row>
    <row r="927" spans="15:24" ht="10" customHeight="1">
      <c r="O927" s="1"/>
      <c r="P927" s="1"/>
      <c r="Q927" s="1"/>
      <c r="R927" s="1"/>
      <c r="S927" s="1"/>
      <c r="T927" s="1"/>
      <c r="U927" s="1"/>
      <c r="V927" s="1"/>
      <c r="W927" s="1"/>
      <c r="X927" s="117"/>
    </row>
    <row r="928" spans="15:24" ht="10" customHeight="1">
      <c r="O928" s="1"/>
      <c r="P928" s="1"/>
      <c r="Q928" s="1"/>
      <c r="R928" s="1"/>
      <c r="S928" s="1"/>
      <c r="T928" s="1"/>
      <c r="U928" s="1"/>
      <c r="V928" s="1"/>
      <c r="W928" s="1"/>
      <c r="X928" s="117"/>
    </row>
    <row r="929" spans="15:24" ht="10" customHeight="1">
      <c r="O929" s="1"/>
      <c r="P929" s="1"/>
      <c r="Q929" s="1"/>
      <c r="R929" s="1"/>
      <c r="S929" s="1"/>
      <c r="T929" s="1"/>
      <c r="U929" s="1"/>
      <c r="V929" s="1"/>
      <c r="W929" s="1"/>
      <c r="X929" s="117"/>
    </row>
    <row r="930" spans="15:24" ht="10" customHeight="1">
      <c r="O930" s="1"/>
      <c r="P930" s="1"/>
      <c r="Q930" s="1"/>
      <c r="R930" s="1"/>
      <c r="S930" s="1"/>
      <c r="T930" s="1"/>
      <c r="U930" s="1"/>
      <c r="V930" s="1"/>
      <c r="W930" s="1"/>
      <c r="X930" s="117"/>
    </row>
    <row r="931" spans="15:24" ht="10" customHeight="1">
      <c r="O931" s="1"/>
      <c r="P931" s="1"/>
      <c r="Q931" s="1"/>
      <c r="R931" s="1"/>
      <c r="S931" s="1"/>
      <c r="T931" s="1"/>
      <c r="U931" s="1"/>
      <c r="V931" s="1"/>
      <c r="W931" s="1"/>
      <c r="X931" s="117"/>
    </row>
    <row r="932" spans="15:24" ht="10" customHeight="1">
      <c r="O932" s="1"/>
      <c r="P932" s="1"/>
      <c r="Q932" s="1"/>
      <c r="R932" s="1"/>
      <c r="S932" s="1"/>
      <c r="T932" s="1"/>
      <c r="U932" s="1"/>
      <c r="V932" s="1"/>
      <c r="W932" s="1"/>
      <c r="X932" s="117"/>
    </row>
    <row r="933" spans="15:24" ht="10" customHeight="1">
      <c r="O933" s="1"/>
      <c r="P933" s="1"/>
      <c r="Q933" s="1"/>
      <c r="R933" s="1"/>
      <c r="S933" s="1"/>
      <c r="T933" s="1"/>
      <c r="U933" s="1"/>
      <c r="V933" s="1"/>
      <c r="W933" s="1"/>
      <c r="X933" s="117"/>
    </row>
    <row r="934" spans="15:24" ht="10" customHeight="1">
      <c r="O934" s="1"/>
      <c r="P934" s="1"/>
      <c r="Q934" s="1"/>
      <c r="R934" s="1"/>
      <c r="S934" s="1"/>
      <c r="T934" s="1"/>
      <c r="U934" s="1"/>
      <c r="V934" s="1"/>
      <c r="W934" s="1"/>
      <c r="X934" s="117"/>
    </row>
    <row r="935" spans="15:24" ht="10" customHeight="1">
      <c r="O935" s="1"/>
      <c r="P935" s="1"/>
      <c r="Q935" s="1"/>
      <c r="R935" s="1"/>
      <c r="S935" s="1"/>
      <c r="T935" s="1"/>
      <c r="U935" s="1"/>
      <c r="V935" s="1"/>
      <c r="W935" s="1"/>
      <c r="X935" s="117"/>
    </row>
    <row r="936" spans="15:24" ht="10" customHeight="1">
      <c r="O936" s="1"/>
      <c r="P936" s="1"/>
      <c r="Q936" s="1"/>
      <c r="R936" s="1"/>
      <c r="S936" s="1"/>
      <c r="T936" s="1"/>
      <c r="U936" s="1"/>
      <c r="V936" s="1"/>
      <c r="W936" s="1"/>
      <c r="X936" s="117"/>
    </row>
    <row r="937" spans="15:24" ht="10" customHeight="1">
      <c r="O937" s="1"/>
      <c r="P937" s="1"/>
      <c r="Q937" s="1"/>
      <c r="R937" s="1"/>
      <c r="S937" s="1"/>
      <c r="T937" s="1"/>
      <c r="U937" s="1"/>
      <c r="V937" s="1"/>
      <c r="W937" s="1"/>
      <c r="X937" s="117"/>
    </row>
    <row r="938" spans="15:24" ht="10" customHeight="1">
      <c r="O938" s="1"/>
      <c r="P938" s="1"/>
      <c r="Q938" s="1"/>
      <c r="R938" s="1"/>
      <c r="S938" s="1"/>
      <c r="T938" s="1"/>
      <c r="U938" s="1"/>
      <c r="V938" s="1"/>
      <c r="W938" s="1"/>
      <c r="X938" s="117"/>
    </row>
    <row r="939" spans="15:24" ht="10" customHeight="1">
      <c r="O939" s="1"/>
      <c r="P939" s="1"/>
      <c r="Q939" s="1"/>
      <c r="R939" s="1"/>
      <c r="S939" s="1"/>
      <c r="T939" s="1"/>
      <c r="U939" s="1"/>
      <c r="V939" s="1"/>
      <c r="W939" s="1"/>
      <c r="X939" s="117"/>
    </row>
    <row r="940" spans="15:24" ht="10" customHeight="1">
      <c r="O940" s="1"/>
      <c r="P940" s="1"/>
      <c r="Q940" s="1"/>
      <c r="R940" s="1"/>
      <c r="S940" s="1"/>
      <c r="T940" s="1"/>
      <c r="U940" s="1"/>
      <c r="V940" s="1"/>
      <c r="W940" s="1"/>
      <c r="X940" s="117"/>
    </row>
    <row r="941" spans="15:24" ht="10" customHeight="1">
      <c r="O941" s="1"/>
      <c r="P941" s="1"/>
      <c r="Q941" s="1"/>
      <c r="R941" s="1"/>
      <c r="S941" s="1"/>
      <c r="T941" s="1"/>
      <c r="U941" s="1"/>
      <c r="V941" s="1"/>
      <c r="W941" s="1"/>
      <c r="X941" s="117"/>
    </row>
    <row r="942" spans="15:24" ht="10" customHeight="1">
      <c r="O942" s="1"/>
      <c r="P942" s="1"/>
      <c r="Q942" s="1"/>
      <c r="R942" s="1"/>
      <c r="S942" s="1"/>
      <c r="T942" s="1"/>
      <c r="U942" s="1"/>
      <c r="V942" s="1"/>
      <c r="W942" s="1"/>
      <c r="X942" s="117"/>
    </row>
    <row r="943" spans="15:24" ht="10" customHeight="1">
      <c r="O943" s="1"/>
      <c r="P943" s="1"/>
      <c r="Q943" s="1"/>
      <c r="R943" s="1"/>
      <c r="S943" s="1"/>
      <c r="T943" s="1"/>
      <c r="U943" s="1"/>
      <c r="V943" s="1"/>
      <c r="W943" s="1"/>
      <c r="X943" s="117"/>
    </row>
    <row r="944" spans="15:24" ht="10" customHeight="1">
      <c r="O944" s="1"/>
      <c r="P944" s="1"/>
      <c r="Q944" s="1"/>
      <c r="R944" s="1"/>
      <c r="S944" s="1"/>
      <c r="T944" s="1"/>
      <c r="U944" s="1"/>
      <c r="V944" s="1"/>
      <c r="W944" s="1"/>
      <c r="X944" s="117"/>
    </row>
    <row r="945" spans="15:24" ht="10" customHeight="1">
      <c r="O945" s="1"/>
      <c r="P945" s="1"/>
      <c r="Q945" s="1"/>
      <c r="R945" s="1"/>
      <c r="S945" s="1"/>
      <c r="T945" s="1"/>
      <c r="U945" s="1"/>
      <c r="V945" s="1"/>
      <c r="W945" s="1"/>
      <c r="X945" s="117"/>
    </row>
    <row r="946" spans="15:24" ht="10" customHeight="1">
      <c r="O946" s="1"/>
      <c r="P946" s="1"/>
      <c r="Q946" s="1"/>
      <c r="R946" s="1"/>
      <c r="S946" s="1"/>
      <c r="T946" s="1"/>
      <c r="U946" s="1"/>
      <c r="V946" s="1"/>
      <c r="W946" s="1"/>
      <c r="X946" s="117"/>
    </row>
    <row r="947" spans="15:24" ht="10" customHeight="1">
      <c r="O947" s="1"/>
      <c r="P947" s="1"/>
      <c r="Q947" s="1"/>
      <c r="R947" s="1"/>
      <c r="S947" s="1"/>
      <c r="T947" s="1"/>
      <c r="U947" s="1"/>
      <c r="V947" s="1"/>
      <c r="W947" s="1"/>
      <c r="X947" s="117"/>
    </row>
    <row r="948" spans="15:24" ht="10" customHeight="1">
      <c r="O948" s="1"/>
      <c r="P948" s="1"/>
      <c r="Q948" s="1"/>
      <c r="R948" s="1"/>
      <c r="S948" s="1"/>
      <c r="T948" s="1"/>
      <c r="U948" s="1"/>
      <c r="V948" s="1"/>
      <c r="W948" s="1"/>
      <c r="X948" s="117"/>
    </row>
    <row r="949" spans="15:24" ht="10" customHeight="1">
      <c r="O949" s="1"/>
      <c r="P949" s="1"/>
      <c r="Q949" s="1"/>
      <c r="R949" s="1"/>
      <c r="S949" s="1"/>
      <c r="T949" s="1"/>
      <c r="U949" s="1"/>
      <c r="V949" s="1"/>
      <c r="W949" s="1"/>
      <c r="X949" s="117"/>
    </row>
    <row r="950" spans="15:24" ht="10" customHeight="1">
      <c r="O950" s="12"/>
      <c r="P950" s="1"/>
      <c r="Q950" s="1"/>
      <c r="R950" s="1"/>
      <c r="S950" s="1"/>
      <c r="T950" s="1"/>
      <c r="U950" s="1"/>
      <c r="V950" s="1"/>
      <c r="W950" s="1"/>
      <c r="X950" s="118"/>
    </row>
    <row r="951" spans="15:24" ht="10" customHeight="1">
      <c r="P951" s="1"/>
      <c r="Q951" s="1"/>
      <c r="R951" s="1"/>
      <c r="S951" s="1"/>
      <c r="T951" s="1"/>
      <c r="U951" s="1"/>
      <c r="V951" s="1"/>
      <c r="W951" s="1"/>
    </row>
    <row r="952" spans="15:24" ht="10" customHeight="1">
      <c r="P952" s="1"/>
      <c r="Q952" s="1"/>
      <c r="R952" s="1"/>
      <c r="S952" s="1"/>
      <c r="T952" s="1"/>
      <c r="U952" s="1"/>
      <c r="V952" s="1"/>
      <c r="W952" s="1"/>
    </row>
    <row r="953" spans="15:24" ht="10" customHeight="1">
      <c r="P953" s="1"/>
      <c r="Q953" s="1"/>
      <c r="R953" s="1"/>
      <c r="S953" s="1"/>
      <c r="T953" s="1"/>
      <c r="U953" s="1"/>
      <c r="V953" s="1"/>
      <c r="W953" s="1"/>
    </row>
    <row r="954" spans="15:24" ht="10" customHeight="1">
      <c r="P954" s="1"/>
      <c r="Q954" s="1"/>
      <c r="R954" s="1"/>
      <c r="S954" s="1"/>
      <c r="T954" s="1"/>
      <c r="U954" s="1"/>
      <c r="V954" s="1"/>
      <c r="W954" s="1"/>
    </row>
    <row r="955" spans="15:24" ht="10" customHeight="1">
      <c r="P955" s="1"/>
      <c r="Q955" s="1"/>
      <c r="R955" s="1"/>
      <c r="S955" s="1"/>
      <c r="T955" s="1"/>
      <c r="U955" s="1"/>
      <c r="V955" s="1"/>
      <c r="W955" s="1"/>
    </row>
    <row r="956" spans="15:24" ht="10" customHeight="1">
      <c r="P956" s="1"/>
      <c r="Q956" s="1"/>
      <c r="R956" s="1"/>
      <c r="S956" s="1"/>
      <c r="T956" s="1"/>
      <c r="U956" s="1"/>
      <c r="V956" s="1"/>
      <c r="W956" s="1"/>
    </row>
    <row r="957" spans="15:24" ht="10" customHeight="1">
      <c r="P957" s="1"/>
      <c r="Q957" s="1"/>
      <c r="R957" s="1"/>
      <c r="S957" s="1"/>
      <c r="T957" s="1"/>
      <c r="U957" s="1"/>
      <c r="V957" s="1"/>
      <c r="W957" s="1"/>
    </row>
    <row r="958" spans="15:24" ht="10" customHeight="1">
      <c r="P958" s="1"/>
      <c r="Q958" s="1"/>
      <c r="R958" s="1"/>
      <c r="S958" s="1"/>
      <c r="T958" s="1"/>
      <c r="U958" s="1"/>
      <c r="V958" s="1"/>
      <c r="W958" s="1"/>
    </row>
    <row r="959" spans="15:24" ht="10" customHeight="1">
      <c r="P959" s="1"/>
      <c r="Q959" s="1"/>
      <c r="R959" s="1"/>
      <c r="S959" s="1"/>
      <c r="T959" s="1"/>
      <c r="U959" s="1"/>
      <c r="V959" s="1"/>
      <c r="W959" s="1"/>
    </row>
    <row r="960" spans="15:24" ht="10" customHeight="1">
      <c r="P960" s="1"/>
      <c r="Q960" s="1"/>
      <c r="R960" s="1"/>
      <c r="S960" s="1"/>
      <c r="T960" s="1"/>
      <c r="U960" s="1"/>
      <c r="V960" s="1"/>
      <c r="W960" s="1"/>
    </row>
    <row r="961" spans="16:23" ht="10" customHeight="1">
      <c r="P961" s="1"/>
      <c r="Q961" s="1"/>
      <c r="R961" s="1"/>
      <c r="S961" s="1"/>
      <c r="T961" s="1"/>
      <c r="U961" s="1"/>
      <c r="V961" s="1"/>
      <c r="W961" s="1"/>
    </row>
    <row r="962" spans="16:23" ht="10" customHeight="1">
      <c r="P962" s="1"/>
      <c r="Q962" s="1"/>
      <c r="R962" s="1"/>
      <c r="S962" s="1"/>
      <c r="T962" s="1"/>
      <c r="U962" s="1"/>
      <c r="V962" s="1"/>
      <c r="W962" s="1"/>
    </row>
    <row r="963" spans="16:23" ht="10" customHeight="1">
      <c r="P963" s="1"/>
      <c r="Q963" s="1"/>
      <c r="R963" s="1"/>
      <c r="S963" s="1"/>
      <c r="T963" s="1"/>
      <c r="U963" s="1"/>
      <c r="V963" s="1"/>
      <c r="W963" s="1"/>
    </row>
    <row r="964" spans="16:23" ht="10" customHeight="1">
      <c r="P964" s="1"/>
      <c r="Q964" s="1"/>
      <c r="R964" s="1"/>
      <c r="S964" s="1"/>
      <c r="T964" s="1"/>
      <c r="U964" s="1"/>
      <c r="V964" s="1"/>
      <c r="W964" s="1"/>
    </row>
    <row r="965" spans="16:23" ht="10" customHeight="1">
      <c r="P965" s="1"/>
      <c r="Q965" s="1"/>
      <c r="R965" s="1"/>
      <c r="S965" s="1"/>
      <c r="T965" s="1"/>
      <c r="U965" s="1"/>
      <c r="V965" s="1"/>
      <c r="W965" s="1"/>
    </row>
    <row r="966" spans="16:23" ht="10" customHeight="1">
      <c r="P966" s="1"/>
      <c r="Q966" s="1"/>
      <c r="R966" s="1"/>
      <c r="S966" s="1"/>
      <c r="T966" s="1"/>
      <c r="U966" s="1"/>
      <c r="V966" s="1"/>
      <c r="W966" s="1"/>
    </row>
    <row r="967" spans="16:23" ht="10" customHeight="1">
      <c r="P967" s="1"/>
      <c r="Q967" s="1"/>
      <c r="R967" s="1"/>
      <c r="S967" s="1"/>
      <c r="T967" s="1"/>
      <c r="U967" s="1"/>
      <c r="V967" s="1"/>
      <c r="W967" s="1"/>
    </row>
    <row r="968" spans="16:23" ht="10" customHeight="1">
      <c r="P968" s="1"/>
      <c r="Q968" s="1"/>
      <c r="R968" s="1"/>
      <c r="S968" s="1"/>
      <c r="T968" s="1"/>
      <c r="U968" s="1"/>
      <c r="V968" s="1"/>
      <c r="W968" s="1"/>
    </row>
    <row r="969" spans="16:23" ht="10" customHeight="1">
      <c r="P969" s="1"/>
      <c r="Q969" s="1"/>
      <c r="R969" s="1"/>
      <c r="S969" s="1"/>
      <c r="T969" s="1"/>
      <c r="U969" s="1"/>
      <c r="V969" s="1"/>
      <c r="W969" s="1"/>
    </row>
    <row r="970" spans="16:23" ht="10" customHeight="1">
      <c r="P970" s="1"/>
      <c r="Q970" s="1"/>
      <c r="R970" s="1"/>
      <c r="S970" s="1"/>
      <c r="T970" s="1"/>
      <c r="U970" s="1"/>
      <c r="V970" s="1"/>
      <c r="W970" s="1"/>
    </row>
    <row r="971" spans="16:23" ht="10" customHeight="1">
      <c r="P971" s="1"/>
      <c r="Q971" s="1"/>
      <c r="R971" s="1"/>
      <c r="S971" s="1"/>
      <c r="T971" s="1"/>
      <c r="U971" s="1"/>
      <c r="V971" s="1"/>
      <c r="W971" s="1"/>
    </row>
    <row r="972" spans="16:23" ht="10" customHeight="1">
      <c r="P972" s="1"/>
      <c r="Q972" s="1"/>
      <c r="R972" s="1"/>
      <c r="S972" s="1"/>
      <c r="T972" s="1"/>
      <c r="U972" s="1"/>
      <c r="V972" s="1"/>
      <c r="W972" s="1"/>
    </row>
    <row r="973" spans="16:23" ht="10" customHeight="1">
      <c r="P973" s="1"/>
      <c r="Q973" s="1"/>
      <c r="R973" s="1"/>
      <c r="S973" s="1"/>
      <c r="T973" s="1"/>
      <c r="U973" s="1"/>
      <c r="V973" s="1"/>
      <c r="W973" s="1"/>
    </row>
    <row r="974" spans="16:23" ht="10" customHeight="1">
      <c r="P974" s="1"/>
      <c r="Q974" s="1"/>
      <c r="R974" s="1"/>
      <c r="S974" s="1"/>
      <c r="T974" s="1"/>
      <c r="U974" s="1"/>
      <c r="V974" s="1"/>
      <c r="W974" s="1"/>
    </row>
    <row r="975" spans="16:23" ht="10" customHeight="1">
      <c r="P975" s="1"/>
      <c r="Q975" s="1"/>
      <c r="R975" s="1"/>
      <c r="S975" s="1"/>
      <c r="T975" s="1"/>
      <c r="U975" s="1"/>
      <c r="V975" s="1"/>
      <c r="W975" s="1"/>
    </row>
  </sheetData>
  <autoFilter ref="A3:AG184" xr:uid="{F95701D9-3E1B-1A41-84C4-8AD7103130CD}"/>
  <mergeCells count="9">
    <mergeCell ref="Z1:AA1"/>
    <mergeCell ref="AB1:AC1"/>
    <mergeCell ref="AD1:AE1"/>
    <mergeCell ref="AF1:AG1"/>
    <mergeCell ref="B1:M1"/>
    <mergeCell ref="P1:Q1"/>
    <mergeCell ref="R1:S1"/>
    <mergeCell ref="T1:U1"/>
    <mergeCell ref="V1:W1"/>
  </mergeCells>
  <dataValidations disablePrompts="1" count="1">
    <dataValidation type="list" allowBlank="1" showInputMessage="1" showErrorMessage="1" sqref="H1:H1048576" xr:uid="{14BBD24F-9993-F54E-AB9B-E73401EFCD15}">
      <formula1>"ABARROTES, CARNES &amp; EMBUTIDOS, CARNES, FRUTAS Y VERDURAS, LECHE Y DERIVADOS"</formula1>
    </dataValidation>
  </dataValidations>
  <printOptions horizontalCentered="1"/>
  <pageMargins left="0.25" right="0.25" top="0.25" bottom="0.25" header="0.125" footer="0.125"/>
  <pageSetup paperSize="5" scale="76" fitToHeight="0" orientation="landscape" r:id="rId1"/>
  <headerFooter>
    <oddHeader>&amp;C&amp;"Calibri,Bold"&amp;14CATÁLOGO DELEGACIONAL — IMPORTES MÁXIMOS Y MÍNIMOS</oddHeader>
    <oddFooter>&amp;L&amp;"Calibri,Italic"&amp;9Hoja: &amp;A&amp;C&amp;"Calibri,Italic"&amp;9Página &amp;P de &amp;F&amp;Z&amp;"Calibri,Italic"&amp;9Impreso: &amp;R</oddFooter>
  </headerFooter>
  <ignoredErrors>
    <ignoredError sqref="C4:F107 C109:F184 C108 E108:F10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CLAVES_IMSS_Viveres</vt:lpstr>
      <vt:lpstr>CLAVES_IMSS_Viveres!Área_de_impresión</vt:lpstr>
      <vt:lpstr>CLAVES_IMSS_Viveres!Títulos_a_imprimir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Yolotzin Sandoval Monroy</dc:creator>
  <cp:lastModifiedBy>Ing. Andrés Cuevas_Outlook</cp:lastModifiedBy>
  <cp:lastPrinted>2026-05-08T05:24:27Z</cp:lastPrinted>
  <dcterms:created xsi:type="dcterms:W3CDTF">2023-08-14T18:52:46Z</dcterms:created>
  <dcterms:modified xsi:type="dcterms:W3CDTF">2026-06-07T21:14:03Z</dcterms:modified>
</cp:coreProperties>
</file>